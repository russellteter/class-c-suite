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Inputs" sheetId="2" state="visible" r:id="rId2"/>
    <sheet xmlns:r="http://schemas.openxmlformats.org/officeDocument/2006/relationships" name="03_Sensitivity" sheetId="3" state="visible" r:id="rId3"/>
    <sheet xmlns:r="http://schemas.openxmlformats.org/officeDocument/2006/relationships" name="04_ARR_Projection" sheetId="4" state="visible" r:id="rId4"/>
    <sheet xmlns:r="http://schemas.openxmlformats.org/officeDocument/2006/relationships" name="05_PnL_PullThroug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_);(&quot;$&quot;#,##0);&quot;-&quot;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BA00"/>
      <sz val="10"/>
    </font>
    <font>
      <name val="Arial"/>
      <b val="1"/>
      <color rgb="FF0A1849"/>
      <sz val="11"/>
    </font>
    <font>
      <name val="Arial"/>
      <i val="1"/>
      <color rgb="FF4739E7"/>
      <sz val="10"/>
    </font>
    <font>
      <name val="Arial"/>
      <b val="1"/>
      <color rgb="FFFFFFFF"/>
      <sz val="11"/>
    </font>
    <font>
      <name val="Arial"/>
      <color rgb="FF0A1849"/>
      <sz val="10"/>
    </font>
    <font>
      <name val="Arial"/>
      <b val="1"/>
      <color rgb="FF0A1849"/>
      <sz val="10"/>
    </font>
  </fonts>
  <fills count="9">
    <fill>
      <patternFill/>
    </fill>
    <fill>
      <patternFill patternType="gray125"/>
    </fill>
    <fill>
      <patternFill patternType="solid">
        <fgColor rgb="FF0A1849"/>
        <bgColor rgb="FF0A184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E6E6"/>
        <bgColor rgb="FFFFE6E6"/>
      </patternFill>
    </fill>
    <fill>
      <patternFill patternType="solid">
        <fgColor rgb="FFFAFAFA"/>
        <bgColor rgb="FFFAFAFA"/>
      </patternFill>
    </fill>
    <fill>
      <patternFill patternType="solid">
        <fgColor rgb="FFFFF5CC"/>
        <bgColor rgb="FFFFF5CC"/>
      </patternFill>
    </fill>
    <fill>
      <patternFill patternType="solid">
        <fgColor rgb="FFE6FFF9"/>
        <bgColor rgb="FFE6FFF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 Trajectory by New-Biz Scenario (24 months)</a:t>
            </a:r>
          </a:p>
        </rich>
      </tx>
    </title>
    <plotArea>
      <lineChart>
        <grouping val="standard"/>
        <ser>
          <idx val="0"/>
          <order val="0"/>
          <tx>
            <strRef>
              <f>'04_ARR_Projection'!D4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'04_ARR_Projection'!$C$5:$C$29</f>
            </numRef>
          </cat>
          <val>
            <numRef>
              <f>'04_ARR_Projection'!$D$5:$D$29</f>
            </numRef>
          </val>
        </ser>
        <ser>
          <idx val="1"/>
          <order val="1"/>
          <tx>
            <strRef>
              <f>'04_ARR_Projection'!E4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'04_ARR_Projection'!$C$5:$C$29</f>
            </numRef>
          </cat>
          <val>
            <numRef>
              <f>'04_ARR_Projection'!$E$5:$E$29</f>
            </numRef>
          </val>
        </ser>
        <ser>
          <idx val="2"/>
          <order val="2"/>
          <tx>
            <strRef>
              <f>'04_ARR_Projection'!F4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'04_ARR_Projection'!$C$5:$C$29</f>
            </numRef>
          </cat>
          <val>
            <numRef>
              <f>'04_ARR_Projection'!$F$5:$F$29</f>
            </numRef>
          </val>
        </ser>
        <ser>
          <idx val="3"/>
          <order val="3"/>
          <tx>
            <strRef>
              <f>'04_ARR_Projection'!G4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'04_ARR_Projection'!$C$5:$C$29</f>
            </numRef>
          </cat>
          <val>
            <numRef>
              <f>'04_ARR_Projection'!$G$5:$G$29</f>
            </numRef>
          </val>
        </ser>
        <ser>
          <idx val="4"/>
          <order val="4"/>
          <tx>
            <strRef>
              <f>'04_ARR_Projection'!H4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'04_ARR_Projection'!$C$5:$C$29</f>
            </numRef>
          </cat>
          <val>
            <numRef>
              <f>'04_ARR_Projection'!$H$5:$H$29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Months from May 2026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ARR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A1849"/>
    <outlinePr summaryBelow="1" summaryRight="1"/>
    <pageSetUpPr/>
  </sheetPr>
  <dimension ref="B1:H26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26" customHeight="1">
      <c r="B1" s="1" t="inlineStr">
        <is>
          <t>CLASS TECHNOLOGIES | COVERAGE RATIO MODEL</t>
        </is>
      </c>
      <c r="C1" s="2" t="n"/>
      <c r="D1" s="2" t="n"/>
      <c r="E1" s="2" t="n"/>
      <c r="F1" s="2" t="n"/>
      <c r="G1" s="2" t="n"/>
      <c r="H1" s="2" t="n"/>
    </row>
    <row r="2" ht="18" customHeight="1">
      <c r="B2" s="3" t="inlineStr">
        <is>
          <t>The 23% / 78% structural-contraction math · Anchor date 2026-05-22 · Source: State of the Company 2026-05-22</t>
        </is>
      </c>
      <c r="C2" s="2" t="n"/>
      <c r="D2" s="2" t="n"/>
      <c r="E2" s="2" t="n"/>
      <c r="F2" s="2" t="n"/>
      <c r="G2" s="2" t="n"/>
      <c r="H2" s="2" t="n"/>
    </row>
    <row r="3" ht="6" customHeight="1"/>
    <row r="5" ht="24" customHeight="1">
      <c r="B5" s="4" t="inlineStr">
        <is>
          <t>THE STRUCTURAL THESIS — what the math says</t>
        </is>
      </c>
    </row>
    <row r="6" ht="30" customHeight="1">
      <c r="B6" s="5" t="inlineStr">
        <is>
          <t>At $963K LTM new-biz against an expected churn book of $3.67–4.19M, current coverage is 23%. Even a 3x improvement in new-biz lifts coverage to ~78%. The renewal book sheds faster than any plausible new-biz motion can replace. This is not an operating problem to solve — it is a structural condition to plan around. The GTM apparatus is correctly sized for managed-runoff, not for growth.</t>
        </is>
      </c>
    </row>
    <row r="7" ht="30" customHeight="1"/>
    <row r="9" ht="22" customHeight="1">
      <c r="B9" s="4" t="inlineStr">
        <is>
          <t>KEY NUMBERS — coverage at base + scenarios</t>
        </is>
      </c>
    </row>
    <row r="10" ht="30" customHeight="1">
      <c r="B10" s="6" t="inlineStr">
        <is>
          <t>Scenario</t>
        </is>
      </c>
      <c r="C10" s="6" t="inlineStr">
        <is>
          <t>New-biz $</t>
        </is>
      </c>
      <c r="D10" s="6" t="inlineStr">
        <is>
          <t>Gross churn $</t>
        </is>
      </c>
      <c r="E10" s="6" t="inlineStr">
        <is>
          <t>Coverage (NB only)</t>
        </is>
      </c>
      <c r="F10" s="6" t="inlineStr">
        <is>
          <t>With expansion</t>
        </is>
      </c>
      <c r="G10" s="6" t="inlineStr">
        <is>
          <t>Net ARR Δ</t>
        </is>
      </c>
    </row>
    <row r="11" ht="22" customHeight="1">
      <c r="B11" s="7" t="inlineStr">
        <is>
          <t>Base — coverage (LTM denom, $3.67M)</t>
        </is>
      </c>
      <c r="C11" s="8" t="n">
        <v>963000</v>
      </c>
      <c r="D11" s="8" t="n">
        <v>3670000</v>
      </c>
      <c r="E11" s="9" t="n">
        <v>0.262</v>
      </c>
      <c r="F11" s="10" t="n">
        <v>0.604</v>
      </c>
      <c r="G11" s="11" t="n">
        <v>-1451000</v>
      </c>
    </row>
    <row r="12" ht="22" customHeight="1">
      <c r="B12" s="12" t="inlineStr">
        <is>
          <t>Base — coverage (POS-015, $4.19M denom)</t>
        </is>
      </c>
      <c r="C12" s="13" t="n">
        <v>963000</v>
      </c>
      <c r="D12" s="13" t="n">
        <v>4187000</v>
      </c>
      <c r="E12" s="9" t="n">
        <v>0.23</v>
      </c>
      <c r="F12" s="14" t="n">
        <v>0.53</v>
      </c>
      <c r="G12" s="11" t="n">
        <v>-1968000</v>
      </c>
    </row>
    <row r="13" ht="22" customHeight="1">
      <c r="B13" s="7" t="inlineStr">
        <is>
          <t>2x new-biz (LTM denom)</t>
        </is>
      </c>
      <c r="C13" s="8" t="n">
        <v>1926000</v>
      </c>
      <c r="D13" s="8" t="n">
        <v>3670000</v>
      </c>
      <c r="E13" s="15" t="n">
        <v>0.525</v>
      </c>
      <c r="F13" s="10" t="n">
        <v>0.867</v>
      </c>
      <c r="G13" s="16" t="n">
        <v>-488000</v>
      </c>
    </row>
    <row r="14" ht="22" customHeight="1">
      <c r="B14" s="12" t="inlineStr">
        <is>
          <t>3x new-biz (LTM denom) — 78% headline</t>
        </is>
      </c>
      <c r="C14" s="13" t="n">
        <v>2889000</v>
      </c>
      <c r="D14" s="13" t="n">
        <v>3670000</v>
      </c>
      <c r="E14" s="15" t="n">
        <v>0.787</v>
      </c>
      <c r="F14" s="14" t="n">
        <v>1.129</v>
      </c>
      <c r="G14" s="17" t="n">
        <v>475000</v>
      </c>
    </row>
    <row r="15" ht="22" customHeight="1">
      <c r="B15" s="18" t="inlineStr">
        <is>
          <t>3x new-biz (POS-015 denom)</t>
        </is>
      </c>
      <c r="C15" s="8" t="n">
        <v>2889000</v>
      </c>
      <c r="D15" s="8" t="n">
        <v>4187000</v>
      </c>
      <c r="E15" s="15" t="n">
        <v>0.6899999999999999</v>
      </c>
      <c r="F15" s="10" t="n">
        <v>0.99</v>
      </c>
      <c r="G15" s="16" t="n">
        <v>-42000</v>
      </c>
    </row>
    <row r="16" ht="22" customHeight="1">
      <c r="B16" s="19" t="inlineStr">
        <is>
          <t>Stressed churn (Q3 compound)</t>
        </is>
      </c>
      <c r="C16" s="13" t="n">
        <v>963000</v>
      </c>
      <c r="D16" s="13" t="n">
        <v>5000000</v>
      </c>
      <c r="E16" s="9" t="n">
        <v>0.193</v>
      </c>
      <c r="F16" s="14" t="n">
        <v>0.444</v>
      </c>
      <c r="G16" s="11" t="n">
        <v>-2781000</v>
      </c>
    </row>
    <row r="18" ht="24" customHeight="1">
      <c r="B18" s="4" t="inlineStr">
        <is>
          <t>STRATEGIC IMPLICATION — three crisp options, decision-rights named</t>
        </is>
      </c>
    </row>
    <row r="19" ht="20" customHeight="1">
      <c r="B19" s="18" t="inlineStr">
        <is>
          <t>Option A — Accept the math</t>
        </is>
      </c>
      <c r="G19" s="20" t="inlineStr">
        <is>
          <t>RECOMMENDED</t>
        </is>
      </c>
    </row>
    <row r="20" ht="48" customHeight="1">
      <c r="B20" s="21" t="inlineStr">
        <is>
          <t>Run the company as M&amp;A prep. Stop selling FY27 internally as a 'growth-investment year'. Preserve the renewal book. Lock the Cornered Resource (4-5 INTL AMs + Sabina). Walk into a data room within 90-120 days. Decision-right: Russell + Chasen (90-day window).</t>
        </is>
      </c>
    </row>
    <row r="21" ht="20" customHeight="1">
      <c r="B21" s="12" t="inlineStr">
        <is>
          <t>Option B — Bet the moonshot</t>
        </is>
      </c>
      <c r="G21" s="22" t="inlineStr">
        <is>
          <t>HIGH VARIANCE</t>
        </is>
      </c>
    </row>
    <row r="22" ht="48" customHeight="1">
      <c r="B22" s="23" t="inlineStr">
        <is>
          <t>Pick a single ICP (Healthcare VILT or Training Providers). Cut 40-50% of org in 60 days. Try to become category leader in one segment in 18 months. Could 3x sale multiple if it works. Could accelerate collapse if it doesn't. Decision-right: Russell + Chasen + Board.</t>
        </is>
      </c>
    </row>
    <row r="23" ht="20" customHeight="1">
      <c r="B23" s="18" t="inlineStr">
        <is>
          <t>Option C — Manage decline to Holdco fold-in</t>
        </is>
      </c>
      <c r="G23" s="24" t="inlineStr">
        <is>
          <t>FLOOR CASE</t>
        </is>
      </c>
    </row>
    <row r="24" ht="48" customHeight="1">
      <c r="B24" s="21" t="inlineStr">
        <is>
          <t>No buyer materializes. Barclays gets impatient. Renewals-only at 40-50% of current cost base. Zeroes Russell's MIP + 180 Class E units. Realistic floor scenario, worst Russell-personal outcome. Decision-right: Chasen + Holdco principal.</t>
        </is>
      </c>
    </row>
    <row r="26" ht="72" customHeight="1">
      <c r="B26" s="5" t="inlineStr">
        <is>
          <t>Sources: State_of_the_Company_2026-05-22.md (CRO Lens §II + Hardest Truths §V #3); POS-015 (New biz covers 23% of expected churn, confidence 85); class_gtm_strategy_2026 memory; Cash Lever Model v5 (W30 = $111,766). Coverage anchor tension: LTM ratio 963/3670 = 26.2%; POS-015 headline 23% implies forward churn denominator of $4.19M. Both surfaced. 78% at 3x is mathematically correct against the $3.67M LTM denominator. Tabs 02-05 model the consequences.</t>
        </is>
      </c>
    </row>
  </sheetData>
  <mergeCells count="13">
    <mergeCell ref="B21:F21"/>
    <mergeCell ref="B24:G24"/>
    <mergeCell ref="B20:G20"/>
    <mergeCell ref="B1:H1"/>
    <mergeCell ref="B6:G7"/>
    <mergeCell ref="B5:G5"/>
    <mergeCell ref="B22:G22"/>
    <mergeCell ref="B9:G9"/>
    <mergeCell ref="B19:F19"/>
    <mergeCell ref="B2:H2"/>
    <mergeCell ref="B23:F23"/>
    <mergeCell ref="B18:G18"/>
    <mergeCell ref="B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BA00"/>
    <outlinePr summaryBelow="1" summaryRight="1"/>
    <pageSetUpPr/>
  </sheetPr>
  <dimension ref="B1:F38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6" customWidth="1" min="4" max="4"/>
    <col width="16" customWidth="1" min="5" max="5"/>
    <col width="50" customWidth="1" min="6" max="6"/>
    <col width="2" customWidth="1" min="7" max="7"/>
  </cols>
  <sheetData>
    <row r="1" ht="26" customHeight="1">
      <c r="B1" s="1" t="inlineStr">
        <is>
          <t>INPUTS &amp; ASSUMPTIONS</t>
        </is>
      </c>
      <c r="C1" s="2" t="n"/>
      <c r="D1" s="2" t="n"/>
      <c r="E1" s="2" t="n"/>
      <c r="F1" s="2" t="n"/>
    </row>
    <row r="2" ht="18" customHeight="1">
      <c r="B2" s="3" t="inlineStr">
        <is>
          <t>Every model assumption sourced and tweakable · All downstream tabs reference these cells</t>
        </is>
      </c>
      <c r="C2" s="2" t="n"/>
      <c r="D2" s="2" t="n"/>
      <c r="E2" s="2" t="n"/>
      <c r="F2" s="2" t="n"/>
    </row>
    <row r="3" ht="6" customHeight="1"/>
    <row r="4" ht="30" customHeight="1">
      <c r="B4" s="6" t="inlineStr">
        <is>
          <t>Variable</t>
        </is>
      </c>
      <c r="C4" s="6" t="inlineStr">
        <is>
          <t>Value</t>
        </is>
      </c>
      <c r="D4" s="6" t="inlineStr">
        <is>
          <t>Units</t>
        </is>
      </c>
      <c r="E4" s="6" t="inlineStr">
        <is>
          <t>Confidence</t>
        </is>
      </c>
      <c r="F4" s="6" t="inlineStr">
        <is>
          <t>Source / Notes</t>
        </is>
      </c>
    </row>
    <row r="5" ht="22" customHeight="1">
      <c r="B5" s="4">
        <f>= COVERAGE MATH ==</f>
        <v/>
      </c>
    </row>
    <row r="6" ht="28" customHeight="1">
      <c r="B6" s="7" t="inlineStr">
        <is>
          <t>LTM new-business closings</t>
        </is>
      </c>
      <c r="C6" s="25" t="n">
        <v>963000</v>
      </c>
      <c r="D6" s="26" t="inlineStr">
        <is>
          <t>$</t>
        </is>
      </c>
      <c r="E6" s="20" t="inlineStr">
        <is>
          <t>HIGH</t>
        </is>
      </c>
      <c r="F6" s="7" t="inlineStr">
        <is>
          <t>State doc §I; ~80%+ runs through Daniel Hansen + Massimo Gentili</t>
        </is>
      </c>
    </row>
    <row r="7" ht="28" customHeight="1">
      <c r="B7" s="19" t="inlineStr">
        <is>
          <t>LTM gross churn (observed)</t>
        </is>
      </c>
      <c r="C7" s="27" t="n">
        <v>3670000</v>
      </c>
      <c r="D7" s="28" t="inlineStr">
        <is>
          <t>$</t>
        </is>
      </c>
      <c r="E7" s="20" t="inlineStr">
        <is>
          <t>HIGH</t>
        </is>
      </c>
      <c r="F7" s="19" t="inlineStr">
        <is>
          <t>State doc §I — observed retention book attrition</t>
        </is>
      </c>
    </row>
    <row r="8" ht="28" customHeight="1">
      <c r="B8" s="7" t="inlineStr">
        <is>
          <t>Forward expected churn (POS-015 anchor)</t>
        </is>
      </c>
      <c r="C8" s="25" t="n">
        <v>4187000</v>
      </c>
      <c r="D8" s="26" t="inlineStr">
        <is>
          <t>$</t>
        </is>
      </c>
      <c r="E8" s="29" t="inlineStr">
        <is>
          <t>MED-HIGH</t>
        </is>
      </c>
      <c r="F8" s="7" t="inlineStr">
        <is>
          <t>Implied by 23% headline; reflects Q3 FY26 exposure (Pretoria $2.5M + Saudi $2.125M)</t>
        </is>
      </c>
    </row>
    <row r="9" ht="28" customHeight="1">
      <c r="B9" s="19" t="inlineStr">
        <is>
          <t>LTM expansion revenue</t>
        </is>
      </c>
      <c r="C9" s="27" t="n">
        <v>1256000</v>
      </c>
      <c r="D9" s="28" t="inlineStr">
        <is>
          <t>$</t>
        </is>
      </c>
      <c r="E9" s="29" t="inlineStr">
        <is>
          <t>MED-HIGH</t>
        </is>
      </c>
      <c r="F9" s="19" t="inlineStr">
        <is>
          <t>Calibrated to 53% with-expansion coverage; ~$1.1-1.25M run-rate</t>
        </is>
      </c>
    </row>
    <row r="10" ht="28" customHeight="1">
      <c r="B10" s="7" t="inlineStr">
        <is>
          <t>Stressed churn (Q3 compound scenario)</t>
        </is>
      </c>
      <c r="C10" s="25" t="n">
        <v>5000000</v>
      </c>
      <c r="D10" s="26" t="inlineStr">
        <is>
          <t>$</t>
        </is>
      </c>
      <c r="E10" s="29" t="inlineStr">
        <is>
          <t>MED</t>
        </is>
      </c>
      <c r="F10" s="7" t="inlineStr">
        <is>
          <t>State doc CRO + CFO: $2.9-3.4M Q3 event added to base churn</t>
        </is>
      </c>
    </row>
    <row r="12" ht="22" customHeight="1">
      <c r="B12" s="4">
        <f>= ARR BASELINE ==</f>
        <v/>
      </c>
    </row>
    <row r="13" ht="28" customHeight="1">
      <c r="B13" s="19" t="inlineStr">
        <is>
          <t>Current ARR (May 2026)</t>
        </is>
      </c>
      <c r="C13" s="27" t="n">
        <v>35850000</v>
      </c>
      <c r="D13" s="28" t="inlineStr">
        <is>
          <t>$</t>
        </is>
      </c>
      <c r="E13" s="20" t="inlineStr">
        <is>
          <t>HIGH</t>
        </is>
      </c>
      <c r="F13" s="19" t="inlineStr">
        <is>
          <t>class_financial_state_may_2026 memory</t>
        </is>
      </c>
    </row>
    <row r="14" ht="28" customHeight="1">
      <c r="B14" s="7" t="inlineStr">
        <is>
          <t>Projected ARR endpoint (16 months)</t>
        </is>
      </c>
      <c r="C14" s="25" t="n">
        <v>20570000</v>
      </c>
      <c r="D14" s="26" t="inlineStr">
        <is>
          <t>$</t>
        </is>
      </c>
      <c r="E14" s="29" t="inlineStr">
        <is>
          <t>MED-HIGH</t>
        </is>
      </c>
      <c r="F14" s="7" t="inlineStr">
        <is>
          <t>memory: ARR cliff $35.85M → $20.57M over 16 months</t>
        </is>
      </c>
    </row>
    <row r="15" ht="28" customHeight="1">
      <c r="B15" s="19" t="inlineStr">
        <is>
          <t>Implied monthly ARR contraction (base)</t>
        </is>
      </c>
      <c r="C15" s="27" t="n">
        <v>-955625</v>
      </c>
      <c r="D15" s="28" t="inlineStr">
        <is>
          <t>$/mo</t>
        </is>
      </c>
      <c r="E15" s="29" t="inlineStr">
        <is>
          <t>MED</t>
        </is>
      </c>
      <c r="F15" s="19">
        <f> (35.85 - 20.57)M / 16 — confirms 23% coverage thesis</f>
        <v/>
      </c>
    </row>
    <row r="17" ht="22" customHeight="1">
      <c r="B17" s="4">
        <f>= GROSS MARGIN ==</f>
        <v/>
      </c>
    </row>
    <row r="18" ht="28" customHeight="1">
      <c r="B18" s="7" t="inlineStr">
        <is>
          <t>Blended GM (current run-rate)</t>
        </is>
      </c>
      <c r="C18" s="30" t="n">
        <v>0.585</v>
      </c>
      <c r="D18" s="26" t="inlineStr">
        <is>
          <t>%</t>
        </is>
      </c>
      <c r="E18" s="29" t="inlineStr">
        <is>
          <t>MED</t>
        </is>
      </c>
      <c r="F18" s="7" t="inlineStr">
        <is>
          <t>State doc CRO: 53-58% range</t>
        </is>
      </c>
    </row>
    <row r="19" ht="28" customHeight="1">
      <c r="B19" s="19" t="inlineStr">
        <is>
          <t>Blended GM (post May 1 2026 pricing)</t>
        </is>
      </c>
      <c r="C19" s="31" t="n">
        <v>0.645</v>
      </c>
      <c r="D19" s="28" t="inlineStr">
        <is>
          <t>%</t>
        </is>
      </c>
      <c r="E19" s="32" t="inlineStr">
        <is>
          <t>MED-LOW</t>
        </is>
      </c>
      <c r="F19" s="19" t="inlineStr">
        <is>
          <t>class_gtm_strategy: Portfolio 48.1→64.5%, Corp 45→83%; PM-013 = 369 of 483 accounts below new list</t>
        </is>
      </c>
    </row>
    <row r="20" ht="28" customHeight="1">
      <c r="B20" s="7" t="inlineStr">
        <is>
          <t>Annualized monthly opex</t>
        </is>
      </c>
      <c r="C20" s="25" t="n">
        <v>2240000</v>
      </c>
      <c r="D20" s="26" t="inlineStr">
        <is>
          <t>$</t>
        </is>
      </c>
      <c r="E20" s="29" t="inlineStr">
        <is>
          <t>MED</t>
        </is>
      </c>
      <c r="F20" s="7" t="inlineStr">
        <is>
          <t>Derived: ARR×GM - LTM EBITDA. Includes AWS class+collab</t>
        </is>
      </c>
    </row>
    <row r="21" ht="28" customHeight="1">
      <c r="B21" s="19" t="inlineStr">
        <is>
          <t>LTM EBITDA (annualized)</t>
        </is>
      </c>
      <c r="C21" s="27" t="n">
        <v>-5500000</v>
      </c>
      <c r="D21" s="28" t="inlineStr">
        <is>
          <t>$</t>
        </is>
      </c>
      <c r="E21" s="20" t="inlineStr">
        <is>
          <t>HIGH</t>
        </is>
      </c>
      <c r="F21" s="19" t="inlineStr">
        <is>
          <t>State doc §I + CFO Lens</t>
        </is>
      </c>
    </row>
    <row r="23" ht="22" customHeight="1">
      <c r="B23" s="4">
        <f>= CASH POSITION ==</f>
        <v/>
      </c>
    </row>
    <row r="24" ht="28" customHeight="1">
      <c r="B24" s="7" t="inlineStr">
        <is>
          <t>Unrestricted cash (NS live, May 22)</t>
        </is>
      </c>
      <c r="C24" s="25" t="n">
        <v>1435000</v>
      </c>
      <c r="D24" s="26" t="inlineStr">
        <is>
          <t>$</t>
        </is>
      </c>
      <c r="E24" s="20" t="inlineStr">
        <is>
          <t>HIGH</t>
        </is>
      </c>
      <c r="F24" s="7" t="inlineStr">
        <is>
          <t>State doc CFO + class_restricted_cash memory</t>
        </is>
      </c>
    </row>
    <row r="25" ht="28" customHeight="1">
      <c r="B25" s="19" t="inlineStr">
        <is>
          <t>Restricted — Barclays BACA</t>
        </is>
      </c>
      <c r="C25" s="27" t="n">
        <v>2500000</v>
      </c>
      <c r="D25" s="28" t="inlineStr">
        <is>
          <t>$</t>
        </is>
      </c>
      <c r="E25" s="20" t="inlineStr">
        <is>
          <t>HIGH</t>
        </is>
      </c>
      <c r="F25" s="19" t="inlineStr">
        <is>
          <t>Class debt structure memory; release is W30 lever</t>
        </is>
      </c>
    </row>
    <row r="26" ht="28" customHeight="1">
      <c r="B26" s="7" t="inlineStr">
        <is>
          <t>Restricted — Coso-TD (Knox escrow)</t>
        </is>
      </c>
      <c r="C26" s="25" t="n">
        <v>2195000</v>
      </c>
      <c r="D26" s="26" t="inlineStr">
        <is>
          <t>$</t>
        </is>
      </c>
      <c r="E26" s="29" t="inlineStr">
        <is>
          <t>MED</t>
        </is>
      </c>
      <c r="F26" s="7" t="inlineStr">
        <is>
          <t>Drew down $1M between May 18-22; needs forensic resolution</t>
        </is>
      </c>
    </row>
    <row r="27" ht="28" customHeight="1">
      <c r="B27" s="19" t="inlineStr">
        <is>
          <t>W30 cash trough (July 26, 2026)</t>
        </is>
      </c>
      <c r="C27" s="27" t="n">
        <v>111766</v>
      </c>
      <c r="D27" s="28" t="inlineStr">
        <is>
          <t>$</t>
        </is>
      </c>
      <c r="E27" s="20" t="inlineStr">
        <is>
          <t>HIGH</t>
        </is>
      </c>
      <c r="F27" s="19" t="inlineStr">
        <is>
          <t>Cash Lever Model v5 / board deck slide 16</t>
        </is>
      </c>
    </row>
    <row r="28" ht="28" customHeight="1">
      <c r="B28" s="7" t="inlineStr">
        <is>
          <t>Operating burn (monthly, midpoint)</t>
        </is>
      </c>
      <c r="C28" s="25" t="n">
        <v>600000</v>
      </c>
      <c r="D28" s="26" t="inlineStr">
        <is>
          <t>$/mo</t>
        </is>
      </c>
      <c r="E28" s="29" t="inlineStr">
        <is>
          <t>MED</t>
        </is>
      </c>
      <c r="F28" s="7" t="inlineStr">
        <is>
          <t>State doc CFO: $500-650K range smoothed by Q1 renewal pulses</t>
        </is>
      </c>
    </row>
    <row r="30" ht="22" customHeight="1">
      <c r="B30" s="4">
        <f>= LEVER STACK (one-time, W30) ==</f>
        <v/>
      </c>
    </row>
    <row r="31" ht="28" customHeight="1">
      <c r="B31" s="19" t="inlineStr">
        <is>
          <t>BACA release</t>
        </is>
      </c>
      <c r="C31" s="27" t="n">
        <v>2500000</v>
      </c>
      <c r="D31" s="28" t="inlineStr">
        <is>
          <t>$</t>
        </is>
      </c>
      <c r="E31" s="32" t="inlineStr">
        <is>
          <t>MED-LOW</t>
        </is>
      </c>
      <c r="F31" s="19" t="inlineStr">
        <is>
          <t>Requires Barclays consent — largest single lever, not in Russell's control</t>
        </is>
      </c>
    </row>
    <row r="32" ht="28" customHeight="1">
      <c r="B32" s="7" t="inlineStr">
        <is>
          <t>AR pull-forward</t>
        </is>
      </c>
      <c r="C32" s="25" t="n">
        <v>1400000</v>
      </c>
      <c r="D32" s="26" t="inlineStr">
        <is>
          <t>$</t>
        </is>
      </c>
      <c r="E32" s="29" t="inlineStr">
        <is>
          <t>MED-HIGH</t>
        </is>
      </c>
      <c r="F32" s="7" t="inlineStr">
        <is>
          <t>POS-003; matches 0-60d aging $1.64M with some risk-adjusted reduction</t>
        </is>
      </c>
    </row>
    <row r="33" ht="28" customHeight="1">
      <c r="B33" s="19" t="inlineStr">
        <is>
          <t>AP defer (real, ex-zombies)</t>
        </is>
      </c>
      <c r="C33" s="27" t="n">
        <v>700000</v>
      </c>
      <c r="D33" s="28" t="inlineStr">
        <is>
          <t>$</t>
        </is>
      </c>
      <c r="E33" s="29" t="inlineStr">
        <is>
          <t>MED</t>
        </is>
      </c>
      <c r="F33" s="19" t="inlineStr">
        <is>
          <t>Real deferrable AP from $1.83M 0-90d bucket — 30-60 day window</t>
        </is>
      </c>
    </row>
    <row r="34" ht="28" customHeight="1">
      <c r="B34" s="7" t="inlineStr">
        <is>
          <t>Total lever stack</t>
        </is>
      </c>
      <c r="C34" s="25" t="n">
        <v>4600000</v>
      </c>
      <c r="D34" s="26" t="inlineStr">
        <is>
          <t>$</t>
        </is>
      </c>
      <c r="E34" s="29" t="inlineStr">
        <is>
          <t>MED</t>
        </is>
      </c>
      <c r="F34" s="7" t="inlineStr">
        <is>
          <t>Cannot reuse AR pull at Q3 cliff — single-shot lever</t>
        </is>
      </c>
    </row>
    <row r="36" ht="22" customHeight="1">
      <c r="B36" s="4">
        <f>= COVENANT ENVELOPE ==</f>
        <v/>
      </c>
    </row>
    <row r="37" ht="28" customHeight="1">
      <c r="B37" s="19" t="inlineStr">
        <is>
          <t>Assumed minimum-liquidity covenant</t>
        </is>
      </c>
      <c r="C37" s="27" t="n">
        <v>2000000</v>
      </c>
      <c r="D37" s="28" t="inlineStr">
        <is>
          <t>$</t>
        </is>
      </c>
      <c r="E37" s="32" t="inlineStr">
        <is>
          <t>LOW</t>
        </is>
      </c>
      <c r="F37" s="19" t="inlineStr">
        <is>
          <t>ASSUMED $1.5-3.0M range; verbatim language pending — highest-VaR open item</t>
        </is>
      </c>
    </row>
    <row r="38" ht="28" customHeight="1">
      <c r="B38" s="7" t="inlineStr">
        <is>
          <t>Cushion at trough (vs. covenant)</t>
        </is>
      </c>
      <c r="C38" s="25" t="n">
        <v>-1888234</v>
      </c>
      <c r="D38" s="26" t="inlineStr">
        <is>
          <t>$</t>
        </is>
      </c>
      <c r="E38" s="32" t="inlineStr">
        <is>
          <t>LOW</t>
        </is>
      </c>
      <c r="F38" s="7" t="inlineStr">
        <is>
          <t>NEGATIVE → if covenant uses unrestricted cash, W30 is a breach of record</t>
        </is>
      </c>
    </row>
  </sheetData>
  <mergeCells count="8">
    <mergeCell ref="B30:F30"/>
    <mergeCell ref="B12:F12"/>
    <mergeCell ref="B2:F2"/>
    <mergeCell ref="B5:F5"/>
    <mergeCell ref="B23:F23"/>
    <mergeCell ref="B1:F1"/>
    <mergeCell ref="B36:F36"/>
    <mergeCell ref="B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739E7"/>
    <outlinePr summaryBelow="1" summaryRight="1"/>
    <pageSetUpPr/>
  </sheetPr>
  <dimension ref="B1:I33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" customWidth="1" min="10" max="10"/>
  </cols>
  <sheetData>
    <row r="1" ht="26" customHeight="1">
      <c r="B1" s="1" t="inlineStr">
        <is>
          <t>COVERAGE SENSITIVITY GRID</t>
        </is>
      </c>
      <c r="C1" s="2" t="n"/>
      <c r="D1" s="2" t="n"/>
      <c r="E1" s="2" t="n"/>
      <c r="F1" s="2" t="n"/>
      <c r="G1" s="2" t="n"/>
      <c r="H1" s="2" t="n"/>
      <c r="I1" s="2" t="n"/>
    </row>
    <row r="2" ht="18" customHeight="1">
      <c r="B2" s="3" t="inlineStr">
        <is>
          <t>New-biz multiplier × churn-assumption matrix · Shows the math at every plausible operating posture</t>
        </is>
      </c>
      <c r="C2" s="2" t="n"/>
      <c r="D2" s="2" t="n"/>
      <c r="E2" s="2" t="n"/>
      <c r="F2" s="2" t="n"/>
      <c r="G2" s="2" t="n"/>
      <c r="H2" s="2" t="n"/>
      <c r="I2" s="2" t="n"/>
    </row>
    <row r="3" ht="6" customHeight="1"/>
    <row r="4" ht="30" customHeight="1">
      <c r="B4" s="6" t="inlineStr">
        <is>
          <t>Churn assumption ↓ / New-biz multiplier →</t>
        </is>
      </c>
      <c r="C4" s="6" t="inlineStr">
        <is>
          <t>0.5x</t>
        </is>
      </c>
      <c r="D4" s="6" t="inlineStr">
        <is>
          <t>1.0x</t>
        </is>
      </c>
      <c r="E4" s="6" t="inlineStr">
        <is>
          <t>1.5x</t>
        </is>
      </c>
      <c r="F4" s="6" t="inlineStr">
        <is>
          <t>2.0x</t>
        </is>
      </c>
      <c r="G4" s="6" t="inlineStr">
        <is>
          <t>2.5x</t>
        </is>
      </c>
      <c r="H4" s="6" t="inlineStr">
        <is>
          <t>3.0x</t>
        </is>
      </c>
      <c r="I4" s="6" t="inlineStr">
        <is>
          <t>4.0x</t>
        </is>
      </c>
    </row>
    <row r="5" ht="22" customHeight="1">
      <c r="B5" s="4" t="inlineStr">
        <is>
          <t>COVERAGE % — new-biz only (no expansion)</t>
        </is>
      </c>
    </row>
    <row r="6" ht="22" customHeight="1">
      <c r="B6" s="18" t="inlineStr">
        <is>
          <t>Conservative ($3.0M)</t>
        </is>
      </c>
      <c r="C6" s="33" t="n">
        <v>0.1605</v>
      </c>
      <c r="D6" s="33" t="n">
        <v>0.321</v>
      </c>
      <c r="E6" s="33" t="n">
        <v>0.4815</v>
      </c>
      <c r="F6" s="34" t="n">
        <v>0.642</v>
      </c>
      <c r="G6" s="34" t="n">
        <v>0.8025</v>
      </c>
      <c r="H6" s="34" t="n">
        <v>0.963</v>
      </c>
      <c r="I6" s="35" t="n">
        <v>1.284</v>
      </c>
    </row>
    <row r="7" ht="22" customHeight="1">
      <c r="B7" s="12" t="inlineStr">
        <is>
          <t>LTM observed ($3.67M)</t>
        </is>
      </c>
      <c r="C7" s="33" t="n">
        <v>0.1311989100817439</v>
      </c>
      <c r="D7" s="33" t="n">
        <v>0.2623978201634877</v>
      </c>
      <c r="E7" s="33" t="n">
        <v>0.3935967302452316</v>
      </c>
      <c r="F7" s="34" t="n">
        <v>0.5247956403269755</v>
      </c>
      <c r="G7" s="34" t="n">
        <v>0.6559945504087193</v>
      </c>
      <c r="H7" s="34" t="n">
        <v>0.7871934604904632</v>
      </c>
      <c r="I7" s="35" t="n">
        <v>1.049591280653951</v>
      </c>
    </row>
    <row r="8" ht="22" customHeight="1">
      <c r="B8" s="18" t="inlineStr">
        <is>
          <t>POS-015 forward ($4.19M)</t>
        </is>
      </c>
      <c r="C8" s="33" t="n">
        <v>0.1149988058275615</v>
      </c>
      <c r="D8" s="33" t="n">
        <v>0.229997611655123</v>
      </c>
      <c r="E8" s="33" t="n">
        <v>0.3449964174826845</v>
      </c>
      <c r="F8" s="33" t="n">
        <v>0.459995223310246</v>
      </c>
      <c r="G8" s="34" t="n">
        <v>0.5749940291378075</v>
      </c>
      <c r="H8" s="34" t="n">
        <v>0.689992834965369</v>
      </c>
      <c r="I8" s="34" t="n">
        <v>0.919990446620492</v>
      </c>
    </row>
    <row r="9" ht="22" customHeight="1">
      <c r="B9" s="12" t="inlineStr">
        <is>
          <t>Stressed Q3 ($5.0M)</t>
        </is>
      </c>
      <c r="C9" s="33" t="n">
        <v>0.0963</v>
      </c>
      <c r="D9" s="33" t="n">
        <v>0.1926</v>
      </c>
      <c r="E9" s="33" t="n">
        <v>0.2889</v>
      </c>
      <c r="F9" s="33" t="n">
        <v>0.3852</v>
      </c>
      <c r="G9" s="33" t="n">
        <v>0.4815</v>
      </c>
      <c r="H9" s="34" t="n">
        <v>0.5778</v>
      </c>
      <c r="I9" s="34" t="n">
        <v>0.7704</v>
      </c>
    </row>
    <row r="10" ht="22" customHeight="1">
      <c r="B10" s="18" t="inlineStr">
        <is>
          <t>Catastrophic ($6.0M)</t>
        </is>
      </c>
      <c r="C10" s="33" t="n">
        <v>0.08025</v>
      </c>
      <c r="D10" s="33" t="n">
        <v>0.1605</v>
      </c>
      <c r="E10" s="33" t="n">
        <v>0.24075</v>
      </c>
      <c r="F10" s="33" t="n">
        <v>0.321</v>
      </c>
      <c r="G10" s="33" t="n">
        <v>0.40125</v>
      </c>
      <c r="H10" s="33" t="n">
        <v>0.4815</v>
      </c>
      <c r="I10" s="34" t="n">
        <v>0.642</v>
      </c>
    </row>
    <row r="12" ht="22" customHeight="1">
      <c r="B12" s="4" t="inlineStr">
        <is>
          <t>COVERAGE % — including $1.26M LTM expansion (held constant)</t>
        </is>
      </c>
    </row>
    <row r="13" ht="22" customHeight="1">
      <c r="B13" s="18" t="inlineStr">
        <is>
          <t>Conservative ($3.0M)</t>
        </is>
      </c>
      <c r="C13" s="34" t="n">
        <v>0.5791666666666667</v>
      </c>
      <c r="D13" s="34" t="n">
        <v>0.7396666666666667</v>
      </c>
      <c r="E13" s="34" t="n">
        <v>0.9001666666666667</v>
      </c>
      <c r="F13" s="35" t="n">
        <v>1.060666666666667</v>
      </c>
      <c r="G13" s="35" t="n">
        <v>1.221166666666667</v>
      </c>
      <c r="H13" s="35" t="n">
        <v>1.381666666666667</v>
      </c>
      <c r="I13" s="35" t="n">
        <v>1.702666666666667</v>
      </c>
    </row>
    <row r="14" ht="22" customHeight="1">
      <c r="B14" s="12" t="inlineStr">
        <is>
          <t>LTM observed ($3.67M)</t>
        </is>
      </c>
      <c r="C14" s="33" t="n">
        <v>0.473433242506812</v>
      </c>
      <c r="D14" s="34" t="n">
        <v>0.6046321525885558</v>
      </c>
      <c r="E14" s="34" t="n">
        <v>0.7358310626702997</v>
      </c>
      <c r="F14" s="34" t="n">
        <v>0.8670299727520436</v>
      </c>
      <c r="G14" s="34" t="n">
        <v>0.9982288828337874</v>
      </c>
      <c r="H14" s="35" t="n">
        <v>1.129427792915531</v>
      </c>
      <c r="I14" s="35" t="n">
        <v>1.391825613079019</v>
      </c>
    </row>
    <row r="15" ht="22" customHeight="1">
      <c r="B15" s="18" t="inlineStr">
        <is>
          <t>POS-015 forward ($4.19M)</t>
        </is>
      </c>
      <c r="C15" s="33" t="n">
        <v>0.4149749223787915</v>
      </c>
      <c r="D15" s="34" t="n">
        <v>0.529973728206353</v>
      </c>
      <c r="E15" s="34" t="n">
        <v>0.6449725340339145</v>
      </c>
      <c r="F15" s="34" t="n">
        <v>0.759971339861476</v>
      </c>
      <c r="G15" s="34" t="n">
        <v>0.8749701456890375</v>
      </c>
      <c r="H15" s="34" t="n">
        <v>0.989968951516599</v>
      </c>
      <c r="I15" s="35" t="n">
        <v>1.219966563171722</v>
      </c>
    </row>
    <row r="16" ht="22" customHeight="1">
      <c r="B16" s="12" t="inlineStr">
        <is>
          <t>Stressed Q3 ($5.0M)</t>
        </is>
      </c>
      <c r="C16" s="33" t="n">
        <v>0.3475</v>
      </c>
      <c r="D16" s="33" t="n">
        <v>0.4438</v>
      </c>
      <c r="E16" s="34" t="n">
        <v>0.5401</v>
      </c>
      <c r="F16" s="34" t="n">
        <v>0.6364</v>
      </c>
      <c r="G16" s="34" t="n">
        <v>0.7327</v>
      </c>
      <c r="H16" s="34" t="n">
        <v>0.829</v>
      </c>
      <c r="I16" s="35" t="n">
        <v>1.0216</v>
      </c>
    </row>
    <row r="17" ht="22" customHeight="1">
      <c r="B17" s="18" t="inlineStr">
        <is>
          <t>Catastrophic ($6.0M)</t>
        </is>
      </c>
      <c r="C17" s="33" t="n">
        <v>0.2895833333333334</v>
      </c>
      <c r="D17" s="33" t="n">
        <v>0.3698333333333333</v>
      </c>
      <c r="E17" s="33" t="n">
        <v>0.4500833333333333</v>
      </c>
      <c r="F17" s="34" t="n">
        <v>0.5303333333333333</v>
      </c>
      <c r="G17" s="34" t="n">
        <v>0.6105833333333334</v>
      </c>
      <c r="H17" s="34" t="n">
        <v>0.6908333333333333</v>
      </c>
      <c r="I17" s="34" t="n">
        <v>0.8513333333333334</v>
      </c>
    </row>
    <row r="19" ht="22" customHeight="1">
      <c r="B19" s="4" t="inlineStr">
        <is>
          <t>NET ARR CHANGE ($) — annual, including expansion</t>
        </is>
      </c>
    </row>
    <row r="20" ht="22" customHeight="1">
      <c r="B20" s="18" t="inlineStr">
        <is>
          <t>Conservative ($3.0M)</t>
        </is>
      </c>
      <c r="C20" s="11" t="n">
        <v>-1262500</v>
      </c>
      <c r="D20" s="36" t="n">
        <v>-781000</v>
      </c>
      <c r="E20" s="36" t="n">
        <v>-299500</v>
      </c>
      <c r="F20" s="17" t="n">
        <v>182000</v>
      </c>
      <c r="G20" s="17" t="n">
        <v>663500</v>
      </c>
      <c r="H20" s="17" t="n">
        <v>1145000</v>
      </c>
      <c r="I20" s="17" t="n">
        <v>2108000</v>
      </c>
    </row>
    <row r="21" ht="22" customHeight="1">
      <c r="B21" s="12" t="inlineStr">
        <is>
          <t>LTM observed ($3.67M)</t>
        </is>
      </c>
      <c r="C21" s="11" t="n">
        <v>-1932500</v>
      </c>
      <c r="D21" s="11" t="n">
        <v>-1451000</v>
      </c>
      <c r="E21" s="36" t="n">
        <v>-969500</v>
      </c>
      <c r="F21" s="36" t="n">
        <v>-488000</v>
      </c>
      <c r="G21" s="36" t="n">
        <v>-6500</v>
      </c>
      <c r="H21" s="17" t="n">
        <v>475000</v>
      </c>
      <c r="I21" s="17" t="n">
        <v>1438000</v>
      </c>
    </row>
    <row r="22" ht="22" customHeight="1">
      <c r="B22" s="18" t="inlineStr">
        <is>
          <t>POS-015 forward ($4.19M)</t>
        </is>
      </c>
      <c r="C22" s="11" t="n">
        <v>-2449500</v>
      </c>
      <c r="D22" s="11" t="n">
        <v>-1968000</v>
      </c>
      <c r="E22" s="11" t="n">
        <v>-1486500</v>
      </c>
      <c r="F22" s="11" t="n">
        <v>-1005000</v>
      </c>
      <c r="G22" s="36" t="n">
        <v>-523500</v>
      </c>
      <c r="H22" s="36" t="n">
        <v>-42000</v>
      </c>
      <c r="I22" s="17" t="n">
        <v>921000</v>
      </c>
    </row>
    <row r="23" ht="22" customHeight="1">
      <c r="B23" s="12" t="inlineStr">
        <is>
          <t>Stressed Q3 ($5.0M)</t>
        </is>
      </c>
      <c r="C23" s="11" t="n">
        <v>-3262500</v>
      </c>
      <c r="D23" s="11" t="n">
        <v>-2781000</v>
      </c>
      <c r="E23" s="11" t="n">
        <v>-2299500</v>
      </c>
      <c r="F23" s="11" t="n">
        <v>-1818000</v>
      </c>
      <c r="G23" s="11" t="n">
        <v>-1336500</v>
      </c>
      <c r="H23" s="36" t="n">
        <v>-855000</v>
      </c>
      <c r="I23" s="17" t="n">
        <v>108000</v>
      </c>
    </row>
    <row r="24" ht="22" customHeight="1">
      <c r="B24" s="18" t="inlineStr">
        <is>
          <t>Catastrophic ($6.0M)</t>
        </is>
      </c>
      <c r="C24" s="11" t="n">
        <v>-4262500</v>
      </c>
      <c r="D24" s="11" t="n">
        <v>-3781000</v>
      </c>
      <c r="E24" s="11" t="n">
        <v>-3299500</v>
      </c>
      <c r="F24" s="11" t="n">
        <v>-2818000</v>
      </c>
      <c r="G24" s="11" t="n">
        <v>-2336500</v>
      </c>
      <c r="H24" s="11" t="n">
        <v>-1855000</v>
      </c>
      <c r="I24" s="36" t="n">
        <v>-892000</v>
      </c>
    </row>
    <row r="27" ht="22" customHeight="1">
      <c r="B27" s="4" t="inlineStr">
        <is>
          <t>READING THE GRID</t>
        </is>
      </c>
    </row>
    <row r="28" ht="26" customHeight="1">
      <c r="B28" s="37" t="inlineStr">
        <is>
          <t>GREEN = coverage &gt; 100% (net ARR growth). YELLOW = 50-100% (managed contraction). RED = &lt;50% (accelerating decline).</t>
        </is>
      </c>
    </row>
    <row r="29" ht="26" customHeight="1">
      <c r="B29" s="37" t="inlineStr">
        <is>
          <t>The 23% headline (State doc) reads down the 'POS-015 forward' row at 1.0x: $963K / $4,187K = 23.0%.</t>
        </is>
      </c>
    </row>
    <row r="30" ht="26" customHeight="1">
      <c r="B30" s="37" t="inlineStr">
        <is>
          <t>The 78% headline reads down the 'LTM observed' row at 3.0x: $2,889K / $3,670K = 78.7%.</t>
        </is>
      </c>
    </row>
    <row r="31" ht="26" customHeight="1">
      <c r="B31" s="37" t="inlineStr">
        <is>
          <t>Even at 4x new-biz (which would require hiring 8-10 quota carriers and 18-24 months of ramp Class cannot afford), the POS-015 forward case ONLY clears 92% — still net contraction.</t>
        </is>
      </c>
    </row>
    <row r="32" ht="26" customHeight="1">
      <c r="B32" s="37" t="inlineStr">
        <is>
          <t>The only with-expansion cells that close &gt; 100% sit in the bottom-left quadrant (low churn + 2x+ new-biz). The Q3 FY26 cliff puts us in the top-right quadrant, not the bottom-left.</t>
        </is>
      </c>
    </row>
    <row r="33" ht="26" customHeight="1">
      <c r="B33" s="37" t="inlineStr">
        <is>
          <t>Net ARR Δ at the LTM-base case (1.0x, $3.67M churn) is -$1.45M annual contraction. Compounds to the $35.85M → $20.57M trajectory across 16 months in memory.</t>
        </is>
      </c>
    </row>
  </sheetData>
  <mergeCells count="12">
    <mergeCell ref="B12:I12"/>
    <mergeCell ref="B30:I30"/>
    <mergeCell ref="B29:I29"/>
    <mergeCell ref="B33:I33"/>
    <mergeCell ref="B2:I2"/>
    <mergeCell ref="B28:I28"/>
    <mergeCell ref="B5:I5"/>
    <mergeCell ref="B19:I19"/>
    <mergeCell ref="B31:I31"/>
    <mergeCell ref="B27:I27"/>
    <mergeCell ref="B1:I1"/>
    <mergeCell ref="B32:I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1849"/>
    <outlinePr summaryBelow="1" summaryRight="1"/>
    <pageSetUpPr/>
  </sheetPr>
  <dimension ref="B1:I58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26" customHeight="1">
      <c r="B1" s="1" t="inlineStr">
        <is>
          <t>24-MONTH ARR RUNOFF PROJECTION</t>
        </is>
      </c>
      <c r="C1" s="2" t="n"/>
      <c r="D1" s="2" t="n"/>
      <c r="E1" s="2" t="n"/>
      <c r="F1" s="2" t="n"/>
      <c r="G1" s="2" t="n"/>
      <c r="H1" s="2" t="n"/>
      <c r="I1" s="2" t="n"/>
    </row>
    <row r="2" ht="18" customHeight="1">
      <c r="B2" s="3" t="inlineStr">
        <is>
          <t>Monthly trajectory under five new-biz scenarios · Starting May 2026 from $35.85M ARR</t>
        </is>
      </c>
      <c r="C2" s="2" t="n"/>
      <c r="D2" s="2" t="n"/>
      <c r="E2" s="2" t="n"/>
      <c r="F2" s="2" t="n"/>
      <c r="G2" s="2" t="n"/>
      <c r="H2" s="2" t="n"/>
      <c r="I2" s="2" t="n"/>
    </row>
    <row r="3" ht="6" customHeight="1"/>
    <row r="4" ht="30" customHeight="1">
      <c r="B4" s="6" t="inlineStr">
        <is>
          <t>Month</t>
        </is>
      </c>
      <c r="C4" s="6" t="inlineStr">
        <is>
          <t>Period</t>
        </is>
      </c>
      <c r="D4" s="6" t="inlineStr">
        <is>
          <t>Base (1x)</t>
        </is>
      </c>
      <c r="E4" s="6" t="inlineStr">
        <is>
          <t>1.5x new-biz</t>
        </is>
      </c>
      <c r="F4" s="6" t="inlineStr">
        <is>
          <t>2x new-biz</t>
        </is>
      </c>
      <c r="G4" s="6" t="inlineStr">
        <is>
          <t>3x new-biz</t>
        </is>
      </c>
      <c r="H4" s="6" t="inlineStr">
        <is>
          <t>5x new-biz (theoretical ceiling)</t>
        </is>
      </c>
    </row>
    <row r="5" ht="18" customHeight="1">
      <c r="B5" s="26" t="inlineStr">
        <is>
          <t>M+0</t>
        </is>
      </c>
      <c r="C5" s="26" t="inlineStr">
        <is>
          <t>May-26</t>
        </is>
      </c>
      <c r="D5" s="17" t="n">
        <v>35850000</v>
      </c>
      <c r="E5" s="17" t="n">
        <v>35850000</v>
      </c>
      <c r="F5" s="17" t="n">
        <v>35850000</v>
      </c>
      <c r="G5" s="17" t="n">
        <v>35850000</v>
      </c>
      <c r="H5" s="17" t="n">
        <v>35850000</v>
      </c>
    </row>
    <row r="6" ht="18" customHeight="1">
      <c r="B6" s="28" t="inlineStr">
        <is>
          <t>M+1</t>
        </is>
      </c>
      <c r="C6" s="28" t="inlineStr">
        <is>
          <t>May-26</t>
        </is>
      </c>
      <c r="D6" s="36" t="n">
        <v>35686000</v>
      </c>
      <c r="E6" s="36" t="n">
        <v>35726125</v>
      </c>
      <c r="F6" s="36" t="n">
        <v>35766250</v>
      </c>
      <c r="G6" s="36" t="n">
        <v>35846500</v>
      </c>
      <c r="H6" s="17" t="n">
        <v>36007000</v>
      </c>
    </row>
    <row r="7" ht="18" customHeight="1">
      <c r="B7" s="26" t="inlineStr">
        <is>
          <t>M+2</t>
        </is>
      </c>
      <c r="C7" s="26" t="inlineStr">
        <is>
          <t>Jun-26</t>
        </is>
      </c>
      <c r="D7" s="36" t="n">
        <v>35522000</v>
      </c>
      <c r="E7" s="36" t="n">
        <v>35602250</v>
      </c>
      <c r="F7" s="36" t="n">
        <v>35682500</v>
      </c>
      <c r="G7" s="36" t="n">
        <v>35843000</v>
      </c>
      <c r="H7" s="17" t="n">
        <v>36164000</v>
      </c>
    </row>
    <row r="8" ht="18" customHeight="1">
      <c r="B8" s="28" t="inlineStr">
        <is>
          <t>M+3</t>
        </is>
      </c>
      <c r="C8" s="28" t="inlineStr">
        <is>
          <t>Jul-26</t>
        </is>
      </c>
      <c r="D8" s="36" t="n">
        <v>35358000</v>
      </c>
      <c r="E8" s="36" t="n">
        <v>35478375</v>
      </c>
      <c r="F8" s="36" t="n">
        <v>35598750</v>
      </c>
      <c r="G8" s="36" t="n">
        <v>35839500</v>
      </c>
      <c r="H8" s="17" t="n">
        <v>36321000</v>
      </c>
    </row>
    <row r="9" ht="18" customHeight="1">
      <c r="B9" s="26" t="inlineStr">
        <is>
          <t>M+4</t>
        </is>
      </c>
      <c r="C9" s="26" t="inlineStr">
        <is>
          <t>Aug-26</t>
        </is>
      </c>
      <c r="D9" s="36" t="n">
        <v>35194000</v>
      </c>
      <c r="E9" s="36" t="n">
        <v>35354500</v>
      </c>
      <c r="F9" s="36" t="n">
        <v>35515000</v>
      </c>
      <c r="G9" s="36" t="n">
        <v>35836000</v>
      </c>
      <c r="H9" s="17" t="n">
        <v>36478000</v>
      </c>
    </row>
    <row r="10" ht="18" customHeight="1">
      <c r="B10" s="28" t="inlineStr">
        <is>
          <t>M+5</t>
        </is>
      </c>
      <c r="C10" s="28" t="inlineStr">
        <is>
          <t>Sep-26</t>
        </is>
      </c>
      <c r="D10" s="36" t="n">
        <v>35030000</v>
      </c>
      <c r="E10" s="36" t="n">
        <v>35230625</v>
      </c>
      <c r="F10" s="36" t="n">
        <v>35431250</v>
      </c>
      <c r="G10" s="36" t="n">
        <v>35832500</v>
      </c>
      <c r="H10" s="17" t="n">
        <v>36635000</v>
      </c>
    </row>
    <row r="11" ht="18" customHeight="1">
      <c r="B11" s="26" t="inlineStr">
        <is>
          <t>M+6</t>
        </is>
      </c>
      <c r="C11" s="26" t="inlineStr">
        <is>
          <t>Oct-26</t>
        </is>
      </c>
      <c r="D11" s="36" t="n">
        <v>34866000</v>
      </c>
      <c r="E11" s="36" t="n">
        <v>35106750</v>
      </c>
      <c r="F11" s="36" t="n">
        <v>35347500</v>
      </c>
      <c r="G11" s="36" t="n">
        <v>35829000</v>
      </c>
      <c r="H11" s="17" t="n">
        <v>36792000</v>
      </c>
    </row>
    <row r="12" ht="18" customHeight="1">
      <c r="B12" s="28" t="inlineStr">
        <is>
          <t>M+7</t>
        </is>
      </c>
      <c r="C12" s="28" t="inlineStr">
        <is>
          <t>Nov-26</t>
        </is>
      </c>
      <c r="D12" s="36" t="n">
        <v>34702000</v>
      </c>
      <c r="E12" s="36" t="n">
        <v>34982875</v>
      </c>
      <c r="F12" s="36" t="n">
        <v>35263750</v>
      </c>
      <c r="G12" s="36" t="n">
        <v>35825500</v>
      </c>
      <c r="H12" s="17" t="n">
        <v>36949000</v>
      </c>
    </row>
    <row r="13" ht="18" customHeight="1">
      <c r="B13" s="26" t="inlineStr">
        <is>
          <t>M+8</t>
        </is>
      </c>
      <c r="C13" s="26" t="inlineStr">
        <is>
          <t>Dec-26</t>
        </is>
      </c>
      <c r="D13" s="36" t="n">
        <v>34538000</v>
      </c>
      <c r="E13" s="36" t="n">
        <v>34859000</v>
      </c>
      <c r="F13" s="36" t="n">
        <v>35180000</v>
      </c>
      <c r="G13" s="36" t="n">
        <v>35822000</v>
      </c>
      <c r="H13" s="17" t="n">
        <v>37106000</v>
      </c>
    </row>
    <row r="14" ht="18" customHeight="1">
      <c r="B14" s="28" t="inlineStr">
        <is>
          <t>M+9</t>
        </is>
      </c>
      <c r="C14" s="28" t="inlineStr">
        <is>
          <t>Jan-27</t>
        </is>
      </c>
      <c r="D14" s="36" t="n">
        <v>34374000</v>
      </c>
      <c r="E14" s="36" t="n">
        <v>34735125</v>
      </c>
      <c r="F14" s="36" t="n">
        <v>35096250</v>
      </c>
      <c r="G14" s="36" t="n">
        <v>35818500</v>
      </c>
      <c r="H14" s="17" t="n">
        <v>37263000</v>
      </c>
    </row>
    <row r="15" ht="18" customHeight="1">
      <c r="B15" s="26" t="inlineStr">
        <is>
          <t>M+10</t>
        </is>
      </c>
      <c r="C15" s="26" t="inlineStr">
        <is>
          <t>Feb-27</t>
        </is>
      </c>
      <c r="D15" s="36" t="n">
        <v>34210000</v>
      </c>
      <c r="E15" s="36" t="n">
        <v>34611250</v>
      </c>
      <c r="F15" s="36" t="n">
        <v>35012500</v>
      </c>
      <c r="G15" s="36" t="n">
        <v>35815000</v>
      </c>
      <c r="H15" s="17" t="n">
        <v>37420000</v>
      </c>
    </row>
    <row r="16" ht="18" customHeight="1">
      <c r="B16" s="28" t="inlineStr">
        <is>
          <t>M+11</t>
        </is>
      </c>
      <c r="C16" s="28" t="inlineStr">
        <is>
          <t>Mar-27</t>
        </is>
      </c>
      <c r="D16" s="36" t="n">
        <v>34046000</v>
      </c>
      <c r="E16" s="36" t="n">
        <v>34487375</v>
      </c>
      <c r="F16" s="36" t="n">
        <v>34928750</v>
      </c>
      <c r="G16" s="36" t="n">
        <v>35811500</v>
      </c>
      <c r="H16" s="17" t="n">
        <v>37577000</v>
      </c>
    </row>
    <row r="17" ht="18" customHeight="1">
      <c r="B17" s="26" t="inlineStr">
        <is>
          <t>M+12</t>
        </is>
      </c>
      <c r="C17" s="26" t="inlineStr">
        <is>
          <t>Apr-27</t>
        </is>
      </c>
      <c r="D17" s="36" t="n">
        <v>33882000</v>
      </c>
      <c r="E17" s="36" t="n">
        <v>34363500</v>
      </c>
      <c r="F17" s="36" t="n">
        <v>34845000</v>
      </c>
      <c r="G17" s="36" t="n">
        <v>35808000</v>
      </c>
      <c r="H17" s="17" t="n">
        <v>37734000</v>
      </c>
    </row>
    <row r="18" ht="18" customHeight="1">
      <c r="B18" s="28" t="inlineStr">
        <is>
          <t>M+13</t>
        </is>
      </c>
      <c r="C18" s="28" t="inlineStr">
        <is>
          <t>May-27</t>
        </is>
      </c>
      <c r="D18" s="36" t="n">
        <v>33718000</v>
      </c>
      <c r="E18" s="36" t="n">
        <v>34239625</v>
      </c>
      <c r="F18" s="36" t="n">
        <v>34761250</v>
      </c>
      <c r="G18" s="36" t="n">
        <v>35804500</v>
      </c>
      <c r="H18" s="17" t="n">
        <v>37891000</v>
      </c>
    </row>
    <row r="19" ht="18" customHeight="1">
      <c r="B19" s="26" t="inlineStr">
        <is>
          <t>M+14</t>
        </is>
      </c>
      <c r="C19" s="26" t="inlineStr">
        <is>
          <t>Jun-27</t>
        </is>
      </c>
      <c r="D19" s="36" t="n">
        <v>33554000</v>
      </c>
      <c r="E19" s="36" t="n">
        <v>34115750</v>
      </c>
      <c r="F19" s="36" t="n">
        <v>34677500</v>
      </c>
      <c r="G19" s="36" t="n">
        <v>35801000</v>
      </c>
      <c r="H19" s="17" t="n">
        <v>38048000</v>
      </c>
    </row>
    <row r="20" ht="18" customHeight="1">
      <c r="B20" s="28" t="inlineStr">
        <is>
          <t>M+15</t>
        </is>
      </c>
      <c r="C20" s="28" t="inlineStr">
        <is>
          <t>Jul-27</t>
        </is>
      </c>
      <c r="D20" s="36" t="n">
        <v>33390000</v>
      </c>
      <c r="E20" s="36" t="n">
        <v>33991875</v>
      </c>
      <c r="F20" s="36" t="n">
        <v>34593750</v>
      </c>
      <c r="G20" s="36" t="n">
        <v>35797500</v>
      </c>
      <c r="H20" s="17" t="n">
        <v>38205000</v>
      </c>
    </row>
    <row r="21" ht="18" customHeight="1">
      <c r="B21" s="26" t="inlineStr">
        <is>
          <t>M+16</t>
        </is>
      </c>
      <c r="C21" s="26" t="inlineStr">
        <is>
          <t>Aug-27</t>
        </is>
      </c>
      <c r="D21" s="36" t="n">
        <v>33226000</v>
      </c>
      <c r="E21" s="36" t="n">
        <v>33868000</v>
      </c>
      <c r="F21" s="36" t="n">
        <v>34510000</v>
      </c>
      <c r="G21" s="36" t="n">
        <v>35794000</v>
      </c>
      <c r="H21" s="17" t="n">
        <v>38362000</v>
      </c>
    </row>
    <row r="22" ht="18" customHeight="1">
      <c r="B22" s="28" t="inlineStr">
        <is>
          <t>M+17</t>
        </is>
      </c>
      <c r="C22" s="28" t="inlineStr">
        <is>
          <t>Sep-27</t>
        </is>
      </c>
      <c r="D22" s="36" t="n">
        <v>33062000</v>
      </c>
      <c r="E22" s="36" t="n">
        <v>33744125</v>
      </c>
      <c r="F22" s="36" t="n">
        <v>34426250</v>
      </c>
      <c r="G22" s="36" t="n">
        <v>35790500</v>
      </c>
      <c r="H22" s="17" t="n">
        <v>38519000</v>
      </c>
    </row>
    <row r="23" ht="18" customHeight="1">
      <c r="B23" s="26" t="inlineStr">
        <is>
          <t>M+18</t>
        </is>
      </c>
      <c r="C23" s="26" t="inlineStr">
        <is>
          <t>Oct-27</t>
        </is>
      </c>
      <c r="D23" s="36" t="n">
        <v>32898000</v>
      </c>
      <c r="E23" s="36" t="n">
        <v>33620250</v>
      </c>
      <c r="F23" s="36" t="n">
        <v>34342500</v>
      </c>
      <c r="G23" s="36" t="n">
        <v>35787000</v>
      </c>
      <c r="H23" s="17" t="n">
        <v>38676000</v>
      </c>
    </row>
    <row r="24" ht="18" customHeight="1">
      <c r="B24" s="28" t="inlineStr">
        <is>
          <t>M+19</t>
        </is>
      </c>
      <c r="C24" s="28" t="inlineStr">
        <is>
          <t>Nov-27</t>
        </is>
      </c>
      <c r="D24" s="36" t="n">
        <v>32734000</v>
      </c>
      <c r="E24" s="36" t="n">
        <v>33496375</v>
      </c>
      <c r="F24" s="36" t="n">
        <v>34258750</v>
      </c>
      <c r="G24" s="36" t="n">
        <v>35783500</v>
      </c>
      <c r="H24" s="17" t="n">
        <v>38833000</v>
      </c>
    </row>
    <row r="25" ht="18" customHeight="1">
      <c r="B25" s="26" t="inlineStr">
        <is>
          <t>M+20</t>
        </is>
      </c>
      <c r="C25" s="26" t="inlineStr">
        <is>
          <t>Dec-27</t>
        </is>
      </c>
      <c r="D25" s="36" t="n">
        <v>32570000</v>
      </c>
      <c r="E25" s="36" t="n">
        <v>33372500</v>
      </c>
      <c r="F25" s="36" t="n">
        <v>34175000</v>
      </c>
      <c r="G25" s="36" t="n">
        <v>35780000</v>
      </c>
      <c r="H25" s="17" t="n">
        <v>38990000</v>
      </c>
    </row>
    <row r="26" ht="18" customHeight="1">
      <c r="B26" s="28" t="inlineStr">
        <is>
          <t>M+21</t>
        </is>
      </c>
      <c r="C26" s="28" t="inlineStr">
        <is>
          <t>Jan-28</t>
        </is>
      </c>
      <c r="D26" s="36" t="n">
        <v>32406000</v>
      </c>
      <c r="E26" s="36" t="n">
        <v>33248625</v>
      </c>
      <c r="F26" s="36" t="n">
        <v>34091250</v>
      </c>
      <c r="G26" s="36" t="n">
        <v>35776500</v>
      </c>
      <c r="H26" s="17" t="n">
        <v>39147000</v>
      </c>
    </row>
    <row r="27" ht="18" customHeight="1">
      <c r="B27" s="26" t="inlineStr">
        <is>
          <t>M+22</t>
        </is>
      </c>
      <c r="C27" s="26" t="inlineStr">
        <is>
          <t>Feb-28</t>
        </is>
      </c>
      <c r="D27" s="36" t="n">
        <v>32242000</v>
      </c>
      <c r="E27" s="36" t="n">
        <v>33124750</v>
      </c>
      <c r="F27" s="36" t="n">
        <v>34007500</v>
      </c>
      <c r="G27" s="36" t="n">
        <v>35773000</v>
      </c>
      <c r="H27" s="17" t="n">
        <v>39304000</v>
      </c>
    </row>
    <row r="28" ht="18" customHeight="1">
      <c r="B28" s="28" t="inlineStr">
        <is>
          <t>M+23</t>
        </is>
      </c>
      <c r="C28" s="28" t="inlineStr">
        <is>
          <t>Mar-28</t>
        </is>
      </c>
      <c r="D28" s="36" t="n">
        <v>32078000</v>
      </c>
      <c r="E28" s="36" t="n">
        <v>33000875</v>
      </c>
      <c r="F28" s="36" t="n">
        <v>33923750</v>
      </c>
      <c r="G28" s="36" t="n">
        <v>35769500</v>
      </c>
      <c r="H28" s="17" t="n">
        <v>39461000</v>
      </c>
    </row>
    <row r="29" ht="18" customHeight="1">
      <c r="B29" s="26" t="inlineStr">
        <is>
          <t>M+24</t>
        </is>
      </c>
      <c r="C29" s="26" t="inlineStr">
        <is>
          <t>Apr-28</t>
        </is>
      </c>
      <c r="D29" s="36" t="n">
        <v>31914000</v>
      </c>
      <c r="E29" s="36" t="n">
        <v>32877000</v>
      </c>
      <c r="F29" s="36" t="n">
        <v>33840000</v>
      </c>
      <c r="G29" s="36" t="n">
        <v>35766000</v>
      </c>
      <c r="H29" s="17" t="n">
        <v>39618000</v>
      </c>
    </row>
    <row r="52" ht="22" customHeight="1">
      <c r="B52" s="4" t="inlineStr">
        <is>
          <t>MODEL MECHANICS</t>
        </is>
      </c>
    </row>
    <row r="53" ht="26" customHeight="1">
      <c r="B53" s="37" t="inlineStr">
        <is>
          <t>Monthly net ARR Δ = (new-biz × multiplier) + expansion - churn, applied to running ARR balance.</t>
        </is>
      </c>
    </row>
    <row r="54" ht="26" customHeight="1">
      <c r="B54" s="37" t="inlineStr">
        <is>
          <t>Base inputs: monthly new-biz = $80,250, monthly expansion = $104,667, monthly churn = $348,917.</t>
        </is>
      </c>
    </row>
    <row r="55" ht="26" customHeight="1">
      <c r="B55" s="37" t="inlineStr">
        <is>
          <t>Uses POS-015 forward churn ($4.19M annual). Conservative — LTM observed case ($3.67M) would show slower decline.</t>
        </is>
      </c>
    </row>
    <row r="56" ht="26" customHeight="1">
      <c r="B56" s="37" t="inlineStr">
        <is>
          <t>At 3x new-biz, ARR ends month 24 at $35,766,000 — that's the 'tripled new-biz' scenario. Still contracts from $35.85M baseline.</t>
        </is>
      </c>
    </row>
    <row r="57" ht="26" customHeight="1">
      <c r="B57" s="37" t="inlineStr">
        <is>
          <t>At 5x new-biz (would require Daniel + Massimo + 7-8 net-new quota carriers ramping clean), ARR ends month 24 at $39,618,000 — first scenario that actually grows.</t>
        </is>
      </c>
    </row>
    <row r="58" ht="26" customHeight="1">
      <c r="B58" s="37" t="inlineStr">
        <is>
          <t>Reality check: Class GTM has 3 quota carriers today (Daniel, Massimo, Clayton), and 80%+ of new-biz $ runs through 2 of them. Going from $963K → $5M LTM is a different company.</t>
        </is>
      </c>
    </row>
  </sheetData>
  <mergeCells count="9">
    <mergeCell ref="B56:H56"/>
    <mergeCell ref="B57:H57"/>
    <mergeCell ref="B58:H58"/>
    <mergeCell ref="B52:H52"/>
    <mergeCell ref="B53:H53"/>
    <mergeCell ref="B2:I2"/>
    <mergeCell ref="B55:H55"/>
    <mergeCell ref="B54:H54"/>
    <mergeCell ref="B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BA00"/>
    <outlinePr summaryBelow="1" summaryRight="1"/>
    <pageSetUpPr/>
  </sheetPr>
  <dimension ref="B1:I21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26" customHeight="1">
      <c r="B1" s="1" t="inlineStr">
        <is>
          <t>P&amp;L PULL-THROUGH BY SCENARIO</t>
        </is>
      </c>
      <c r="C1" s="2" t="n"/>
      <c r="D1" s="2" t="n"/>
      <c r="E1" s="2" t="n"/>
      <c r="F1" s="2" t="n"/>
      <c r="G1" s="2" t="n"/>
      <c r="H1" s="2" t="n"/>
      <c r="I1" s="2" t="n"/>
    </row>
    <row r="2" ht="18" customHeight="1">
      <c r="B2" s="3" t="inlineStr">
        <is>
          <t>Revenue / Gross Profit / EBITDA / Cash Burn at end-of-year-2 (May 2028)</t>
        </is>
      </c>
      <c r="C2" s="2" t="n"/>
      <c r="D2" s="2" t="n"/>
      <c r="E2" s="2" t="n"/>
      <c r="F2" s="2" t="n"/>
      <c r="G2" s="2" t="n"/>
      <c r="H2" s="2" t="n"/>
      <c r="I2" s="2" t="n"/>
    </row>
    <row r="3" ht="6" customHeight="1"/>
    <row r="4" ht="30" customHeight="1">
      <c r="B4" s="6" t="inlineStr">
        <is>
          <t>P&amp;L Line</t>
        </is>
      </c>
      <c r="C4" s="6" t="inlineStr">
        <is>
          <t>Base (1x)</t>
        </is>
      </c>
      <c r="D4" s="6" t="inlineStr">
        <is>
          <t>1.5x</t>
        </is>
      </c>
      <c r="E4" s="6" t="inlineStr">
        <is>
          <t>2x</t>
        </is>
      </c>
      <c r="F4" s="6" t="inlineStr">
        <is>
          <t>3x</t>
        </is>
      </c>
      <c r="G4" s="6" t="inlineStr">
        <is>
          <t>5x</t>
        </is>
      </c>
      <c r="H4" s="6" t="inlineStr">
        <is>
          <t>Notes</t>
        </is>
      </c>
    </row>
    <row r="5" ht="32" customHeight="1">
      <c r="B5" s="7" t="inlineStr">
        <is>
          <t>Ending ARR (Month 24)</t>
        </is>
      </c>
      <c r="C5" s="8" t="n">
        <v>31914000</v>
      </c>
      <c r="D5" s="8" t="n">
        <v>32877000</v>
      </c>
      <c r="E5" s="8" t="n">
        <v>33840000</v>
      </c>
      <c r="F5" s="8" t="n">
        <v>35766000</v>
      </c>
      <c r="G5" s="8" t="n">
        <v>39618000</v>
      </c>
      <c r="H5" s="7" t="inlineStr">
        <is>
          <t>Annual recurring revenue at end-of-projection</t>
        </is>
      </c>
    </row>
    <row r="6" ht="32" customHeight="1">
      <c r="B6" s="19" t="inlineStr">
        <is>
          <t>× Gross Margin (post 2026 pricing)</t>
        </is>
      </c>
      <c r="C6" s="14" t="n">
        <v>0.645</v>
      </c>
      <c r="D6" s="14" t="n">
        <v>0.645</v>
      </c>
      <c r="E6" s="14" t="n">
        <v>0.645</v>
      </c>
      <c r="F6" s="14" t="n">
        <v>0.645</v>
      </c>
      <c r="G6" s="14" t="n">
        <v>0.645</v>
      </c>
      <c r="H6" s="19" t="inlineStr">
        <is>
          <t>Portfolio GM 64.5% blended; assumes 2026 pricing model fully landed</t>
        </is>
      </c>
    </row>
    <row r="7" ht="32" customHeight="1">
      <c r="B7" s="38">
        <f> Gross Profit</f>
        <v/>
      </c>
      <c r="C7" s="39" t="n">
        <v>20584530</v>
      </c>
      <c r="D7" s="39" t="n">
        <v>21205665</v>
      </c>
      <c r="E7" s="39" t="n">
        <v>21826800</v>
      </c>
      <c r="F7" s="39" t="n">
        <v>23069070</v>
      </c>
      <c r="G7" s="39" t="n">
        <v>25553610</v>
      </c>
      <c r="H7" s="40" t="inlineStr">
        <is>
          <t>ARR × GM. Captures whether the renewal book covers the cost base.</t>
        </is>
      </c>
    </row>
    <row r="8" ht="32" customHeight="1">
      <c r="B8" s="19" t="inlineStr">
        <is>
          <t>- Opex (annualized, current run-rate)</t>
        </is>
      </c>
      <c r="C8" s="13" t="n">
        <v>26880000</v>
      </c>
      <c r="D8" s="13" t="n">
        <v>26880000</v>
      </c>
      <c r="E8" s="13" t="n">
        <v>26880000</v>
      </c>
      <c r="F8" s="13" t="n">
        <v>26880000</v>
      </c>
      <c r="G8" s="13" t="n">
        <v>26880000</v>
      </c>
      <c r="H8" s="19" t="inlineStr">
        <is>
          <t>$26.9M annualized. Held flat — assumes no further cost reduction.</t>
        </is>
      </c>
    </row>
    <row r="9" ht="32" customHeight="1">
      <c r="B9" s="38">
        <f> EBITDA (annual)</f>
        <v/>
      </c>
      <c r="C9" s="11" t="n">
        <v>-6295470</v>
      </c>
      <c r="D9" s="11" t="n">
        <v>-5674335</v>
      </c>
      <c r="E9" s="11" t="n">
        <v>-5053200</v>
      </c>
      <c r="F9" s="11" t="n">
        <v>-3810930</v>
      </c>
      <c r="G9" s="16" t="n">
        <v>-1326390</v>
      </c>
      <c r="H9" s="40" t="inlineStr">
        <is>
          <t>Negative across all scenarios — even 5x new-biz doesn't break even at current opex.</t>
        </is>
      </c>
    </row>
    <row r="10" ht="32" customHeight="1">
      <c r="B10" s="38" t="inlineStr">
        <is>
          <t>EBITDA breakeven ARR (req'd to flip)</t>
        </is>
      </c>
      <c r="C10" s="39" t="n">
        <v>41674418.60465116</v>
      </c>
      <c r="D10" s="39" t="n">
        <v>41674418.60465116</v>
      </c>
      <c r="E10" s="39" t="n">
        <v>41674418.60465116</v>
      </c>
      <c r="F10" s="39" t="n">
        <v>41674418.60465116</v>
      </c>
      <c r="G10" s="39" t="n">
        <v>41674418.60465116</v>
      </c>
      <c r="H10" s="40" t="inlineStr">
        <is>
          <t>ARR required for EBITDA = $0 at current opex + post-pricing GM. The cost base must come down.</t>
        </is>
      </c>
    </row>
    <row r="11" ht="32" customHeight="1">
      <c r="B11" s="7" t="inlineStr">
        <is>
          <t>Implied monthly cash burn (Y2)</t>
        </is>
      </c>
      <c r="C11" s="41" t="n">
        <v>524622.5</v>
      </c>
      <c r="D11" s="41" t="n">
        <v>472861.25</v>
      </c>
      <c r="E11" s="41" t="n">
        <v>421100</v>
      </c>
      <c r="F11" s="41" t="n">
        <v>317577.5</v>
      </c>
      <c r="G11" s="36" t="n">
        <v>110532.5</v>
      </c>
      <c r="H11" s="7" t="inlineStr">
        <is>
          <t>Operating burn at year-2 run-rate. Compounds against $1.435M starting cash.</t>
        </is>
      </c>
    </row>
    <row r="12" ht="32" customHeight="1">
      <c r="B12" s="19" t="inlineStr">
        <is>
          <t>Months of cash runway from today ($1.435M)</t>
        </is>
      </c>
      <c r="C12" s="42" t="n">
        <v>2.735300144389537</v>
      </c>
      <c r="D12" s="43" t="n">
        <v>3.034716843471526</v>
      </c>
      <c r="E12" s="43" t="n">
        <v>3.40774162906673</v>
      </c>
      <c r="F12" s="43" t="n">
        <v>4.518582078390314</v>
      </c>
      <c r="G12" s="44" t="n">
        <v>12.98260692556488</v>
      </c>
      <c r="H12" s="19" t="inlineStr">
        <is>
          <t>Without lever stack or external capital. Below 3 = imminent. Below 6 = financing trigger.</t>
        </is>
      </c>
    </row>
    <row r="14" ht="22" customHeight="1">
      <c r="B14" s="4" t="inlineStr">
        <is>
          <t>COVENANT TEST — projected liquidity at Year-2 month-end vs. assumed $2M minimum</t>
        </is>
      </c>
    </row>
    <row r="15" ht="28" customHeight="1">
      <c r="B15" s="18" t="inlineStr">
        <is>
          <t>Projected unrestricted cash, May 2028</t>
        </is>
      </c>
      <c r="C15" s="11" t="n">
        <v>-7460470</v>
      </c>
      <c r="D15" s="11" t="n">
        <v>-6839335</v>
      </c>
      <c r="E15" s="11" t="n">
        <v>-6218200</v>
      </c>
      <c r="F15" s="11" t="n">
        <v>-4975930</v>
      </c>
      <c r="G15" s="11" t="n">
        <v>-2491390</v>
      </c>
      <c r="H15" s="7" t="inlineStr">
        <is>
          <t>Assumes full lever stack executes + steady-state burn. Reality is lumpier.</t>
        </is>
      </c>
    </row>
    <row r="17" ht="22" customHeight="1">
      <c r="B17" s="4" t="inlineStr">
        <is>
          <t>HARDEST TRUTH FROM THE P&amp;L</t>
        </is>
      </c>
    </row>
    <row r="18" ht="22" customHeight="1">
      <c r="B18" s="5" t="inlineStr">
        <is>
          <t>At post-2026-pricing GM of 64.5% and current opex run-rate of $26.9M annual, EBITDA breakeven requires ARR of $41.7M. Current ARR is $35.9M. Even at 5x new-biz over 24 months, ending ARR is $39.6M — still below breakeven. The 23%/78% coverage problem is not just an ARR-trajectory problem. It is a cost-base problem the renewal book cannot solve. Either opex comes down materially (40-50% per WS-03) or the company sells. There is no organic path to profitability at 23% coverage and $26.9M opex. This is the CFO lens hardest truth made arithmetic.</t>
        </is>
      </c>
    </row>
    <row r="19" ht="22" customHeight="1"/>
    <row r="20" ht="22" customHeight="1"/>
    <row r="21" ht="22" customHeight="1"/>
  </sheetData>
  <mergeCells count="5">
    <mergeCell ref="B14:H14"/>
    <mergeCell ref="B17:H17"/>
    <mergeCell ref="B2:I2"/>
    <mergeCell ref="B18:H2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2026-05-22T17:29:52Z</dcterms:created>
  <dcterms:modified xmlns:dcterms="http://purl.org/dc/terms/" xmlns:xsi="http://www.w3.org/2001/XMLSchema-instance" xsi:type="dcterms:W3CDTF">2026-05-22T17:29:52Z</dcterms:modified>
</cp:coreProperties>
</file>