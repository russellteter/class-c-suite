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DASHBOARD" sheetId="1" state="visible" r:id="rId1"/>
    <sheet xmlns:r="http://schemas.openxmlformats.org/officeDocument/2006/relationships" name="00_README" sheetId="2" state="hidden" r:id="rId2"/>
    <sheet xmlns:r="http://schemas.openxmlformats.org/officeDocument/2006/relationships" name="02_Severance_Inputs" sheetId="3" state="visible" r:id="rId3"/>
    <sheet xmlns:r="http://schemas.openxmlformats.org/officeDocument/2006/relationships" name="03_Cost_Levers" sheetId="4" state="visible" r:id="rId4"/>
    <sheet xmlns:r="http://schemas.openxmlformats.org/officeDocument/2006/relationships" name="04_Bookings_Inputs" sheetId="5" state="visible" r:id="rId5"/>
    <sheet xmlns:r="http://schemas.openxmlformats.org/officeDocument/2006/relationships" name="05_AWS_Analysis" sheetId="6" state="visible" r:id="rId6"/>
    <sheet xmlns:r="http://schemas.openxmlformats.org/officeDocument/2006/relationships" name="06_NS_Variance" sheetId="7" state="visible" r:id="rId7"/>
    <sheet xmlns:r="http://schemas.openxmlformats.org/officeDocument/2006/relationships" name="07_Weekly_Engine" sheetId="8" state="visible" r:id="rId8"/>
    <sheet xmlns:r="http://schemas.openxmlformats.org/officeDocument/2006/relationships" name="08_Audit_Trail" sheetId="9" state="visible" r:id="rId9"/>
  </sheets>
  <definedNames>
    <definedName name="_xlnm._FilterDatabase" localSheetId="2" hidden="1">'02_Severance_Inputs'!$B$4:$R$45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_);[Red]\(&quot;$&quot;#,##0\);&quot;-&quot;"/>
    <numFmt numFmtId="165" formatCode="&quot;+&quot;\$#,##0;[Red]&quot;-&quot;\$#,##0;&quot;$&quot;0"/>
    <numFmt numFmtId="166" formatCode="&quot;+&quot;\$#,##0;[Red]&quot;-&quot;\$#,##0"/>
    <numFmt numFmtId="167" formatCode="m/d/yyyy"/>
    <numFmt numFmtId="168" formatCode="&quot;$&quot;#,##0"/>
    <numFmt numFmtId="169" formatCode="yyyy-mm-dd"/>
  </numFmts>
  <fonts count="32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BA00"/>
      <sz val="12"/>
    </font>
    <font>
      <name val="Arial"/>
      <b val="1"/>
      <color rgb="FF6B7180"/>
      <sz val="9"/>
    </font>
    <font>
      <name val="Arial"/>
      <b val="1"/>
      <color rgb="FF0A1849"/>
      <sz val="20"/>
    </font>
    <font>
      <name val="Arial"/>
      <b val="1"/>
      <color rgb="FF00B894"/>
      <sz val="20"/>
    </font>
    <font>
      <name val="Arial"/>
      <b val="1"/>
      <color rgb="FFE74C3C"/>
      <sz val="20"/>
    </font>
    <font>
      <name val="Arial"/>
      <i val="1"/>
      <color rgb="FF6B7180"/>
      <sz val="9"/>
    </font>
    <font>
      <name val="Arial"/>
      <b val="1"/>
      <color rgb="FF0A1849"/>
      <sz val="11"/>
    </font>
    <font>
      <name val="Arial"/>
      <b val="1"/>
      <color rgb="FFFFFFFF"/>
      <sz val="9"/>
    </font>
    <font>
      <name val="Arial"/>
      <b val="1"/>
      <color rgb="FFB48700"/>
      <sz val="9"/>
    </font>
    <font>
      <name val="Arial"/>
      <b val="1"/>
      <color rgb="FF0A1849"/>
      <sz val="9"/>
    </font>
    <font>
      <name val="Arial"/>
      <b val="1"/>
      <color rgb="FFDC2626"/>
      <sz val="9"/>
    </font>
    <font>
      <name val="Calibri"/>
      <color theme="1"/>
      <sz val="11"/>
    </font>
    <font>
      <name val="Arial"/>
      <color rgb="FFDC2626"/>
      <sz val="9"/>
    </font>
    <font>
      <name val="Arial"/>
      <color rgb="FF6B7180"/>
      <sz val="9"/>
    </font>
    <font>
      <name val="Arial"/>
      <i val="1"/>
      <color rgb="FF0A1849"/>
      <sz val="9"/>
    </font>
    <font>
      <name val="Arial"/>
      <b val="1"/>
      <color rgb="FFFFFFFF"/>
      <sz val="10"/>
    </font>
    <font>
      <name val="Calibri"/>
      <color theme="1"/>
      <scheme val="minor"/>
    </font>
    <font>
      <name val="Arial"/>
      <b val="1"/>
      <color rgb="FF0A1849"/>
      <sz val="10"/>
    </font>
    <font>
      <name val="Arial"/>
      <color rgb="FF0A1849"/>
      <sz val="10"/>
    </font>
    <font>
      <name val="Calibri"/>
      <color rgb="FF0A1849"/>
      <sz val="11"/>
      <u val="single"/>
    </font>
    <font>
      <name val="Calibri"/>
      <color rgb="FF0A1849"/>
      <sz val="11"/>
      <u val="single"/>
    </font>
    <font>
      <name val="Arial"/>
      <b val="1"/>
      <color rgb="FFFFFFFF"/>
      <sz val="11"/>
    </font>
    <font>
      <name val="Arial"/>
      <b val="1"/>
      <color rgb="FF991B1B"/>
      <sz val="10"/>
    </font>
    <font>
      <name val="Arial"/>
      <i val="1"/>
      <color rgb="FF6B7180"/>
      <sz val="10"/>
    </font>
    <font>
      <name val="Arial"/>
      <b val="1"/>
      <color rgb="FFFFBA00"/>
      <sz val="10"/>
    </font>
    <font>
      <name val="Arial"/>
      <color rgb="FF1A2A6A"/>
      <sz val="10"/>
    </font>
    <font>
      <name val="Arial"/>
      <i val="1"/>
      <color rgb="FF9CA3AF"/>
      <sz val="10"/>
    </font>
    <font>
      <name val="Arial"/>
      <color rgb="FF0A1849"/>
      <sz val="11"/>
    </font>
    <font>
      <name val="Arial"/>
      <b val="1"/>
      <color rgb="FFE74C3C"/>
      <sz val="10"/>
    </font>
  </fonts>
  <fills count="15">
    <fill>
      <patternFill/>
    </fill>
    <fill>
      <patternFill patternType="lightGray"/>
    </fill>
    <fill>
      <patternFill patternType="solid">
        <fgColor rgb="FF0A1849"/>
        <bgColor rgb="FF0A1849"/>
      </patternFill>
    </fill>
    <fill>
      <patternFill patternType="solid">
        <fgColor rgb="FFFFFFFF"/>
        <bgColor rgb="FFFFFFFF"/>
      </patternFill>
    </fill>
    <fill>
      <patternFill patternType="solid">
        <fgColor rgb="FFFFF4E0"/>
        <bgColor rgb="FFFFF4E0"/>
      </patternFill>
    </fill>
    <fill>
      <patternFill patternType="solid">
        <fgColor rgb="FFF3F3F3"/>
        <bgColor rgb="FFF3F3F3"/>
      </patternFill>
    </fill>
    <fill>
      <patternFill patternType="solid">
        <fgColor rgb="FFE6FFF9"/>
        <bgColor rgb="FFE6FFF9"/>
      </patternFill>
    </fill>
    <fill>
      <patternFill patternType="solid">
        <fgColor rgb="FFFAFAFA"/>
        <bgColor rgb="FFFAFAFA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EF1FA"/>
        <bgColor rgb="FFEEF1FA"/>
      </patternFill>
    </fill>
    <fill>
      <patternFill patternType="solid">
        <fgColor rgb="FFFFFAE0"/>
        <bgColor rgb="FFFFFAE0"/>
      </patternFill>
    </fill>
    <fill>
      <patternFill patternType="solid">
        <fgColor rgb="FFE6E9F5"/>
        <bgColor rgb="FFE6E9F5"/>
      </patternFill>
    </fill>
    <fill>
      <patternFill patternType="solid">
        <fgColor rgb="FFFFE6E6"/>
        <bgColor rgb="FFFFE6E6"/>
      </patternFill>
    </fill>
    <fill>
      <patternFill patternType="solid">
        <fgColor rgb="FFECE9FF"/>
        <bgColor rgb="FFECE9FF"/>
      </patternFill>
    </fill>
  </fills>
  <borders count="18">
    <border/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/>
    </border>
    <border>
      <top style="thin">
        <color rgb="FFE0E0E0"/>
      </top>
      <bottom/>
    </border>
    <border>
      <right/>
      <top style="thin">
        <color rgb="FFE0E0E0"/>
      </top>
      <bottom/>
    </border>
    <border>
      <left style="medium">
        <color rgb="FF0A1849"/>
      </left>
      <top style="medium">
        <color rgb="FF0A1849"/>
      </top>
      <bottom style="medium">
        <color rgb="FF0A1849"/>
      </bottom>
    </border>
    <border>
      <top style="medium">
        <color rgb="FF0A1849"/>
      </top>
      <bottom style="medium">
        <color rgb="FF0A1849"/>
      </bottom>
    </border>
    <border>
      <right style="medium">
        <color rgb="FF0A1849"/>
      </right>
      <top style="medium">
        <color rgb="FF0A1849"/>
      </top>
      <bottom style="medium">
        <color rgb="FF0A1849"/>
      </bottom>
    </border>
    <border>
      <left/>
      <right/>
      <top/>
      <bottom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top style="thin">
        <color rgb="FFE0E0E0"/>
      </top>
    </border>
    <border>
      <right style="thin">
        <color rgb="FFE0E0E0"/>
      </right>
      <top style="thin">
        <color rgb="FFE0E0E0"/>
      </top>
    </border>
    <border>
      <left style="thin">
        <color rgb="FFE0E0E0"/>
      </left>
      <right/>
      <top style="thin">
        <color rgb="FFE0E0E0"/>
      </top>
      <bottom/>
    </border>
    <border>
      <left style="medium">
        <color rgb="FF0A1849"/>
      </left>
      <right style="medium">
        <color rgb="FF0A1849"/>
      </right>
      <top style="medium">
        <color rgb="FF0A1849"/>
      </top>
      <bottom style="medium">
        <color rgb="FF0A1849"/>
      </bottom>
    </border>
    <border>
      <top style="medium">
        <color rgb="FF0A1849"/>
      </top>
    </border>
    <border>
      <right style="medium">
        <color rgb="FF0A1849"/>
      </right>
      <top style="medium">
        <color rgb="FF0A1849"/>
      </top>
    </border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4" fillId="3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4" fillId="4" borderId="7" applyAlignment="1" pivotButton="0" quotePrefix="0" xfId="0">
      <alignment horizontal="center" vertical="center"/>
    </xf>
    <xf numFmtId="164" fontId="5" fillId="3" borderId="7" applyAlignment="1" pivotButton="0" quotePrefix="0" xfId="0">
      <alignment horizontal="center" vertical="center"/>
    </xf>
    <xf numFmtId="164" fontId="5" fillId="4" borderId="7" applyAlignment="1" pivotButton="0" quotePrefix="0" xfId="0">
      <alignment horizontal="center" vertical="center"/>
    </xf>
    <xf numFmtId="165" fontId="6" fillId="3" borderId="7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2" borderId="1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0" fontId="20" fillId="4" borderId="11" applyAlignment="1" pivotButton="0" quotePrefix="0" xfId="0">
      <alignment horizontal="left" vertical="center"/>
    </xf>
    <xf numFmtId="164" fontId="20" fillId="4" borderId="11" applyAlignment="1" pivotButton="0" quotePrefix="0" xfId="0">
      <alignment horizontal="center" vertical="center"/>
    </xf>
    <xf numFmtId="0" fontId="21" fillId="4" borderId="11" applyAlignment="1" pivotButton="0" quotePrefix="0" xfId="0">
      <alignment horizontal="center" vertical="center"/>
    </xf>
    <xf numFmtId="0" fontId="20" fillId="6" borderId="11" applyAlignment="1" pivotButton="0" quotePrefix="0" xfId="0">
      <alignment horizontal="left" vertical="center"/>
    </xf>
    <xf numFmtId="164" fontId="20" fillId="6" borderId="11" applyAlignment="1" pivotButton="0" quotePrefix="0" xfId="0">
      <alignment horizontal="center" vertical="center"/>
    </xf>
    <xf numFmtId="166" fontId="20" fillId="6" borderId="11" applyAlignment="1" pivotButton="0" quotePrefix="0" xfId="0">
      <alignment horizontal="center" vertical="center"/>
    </xf>
    <xf numFmtId="3" fontId="20" fillId="6" borderId="11" applyAlignment="1" pivotButton="0" quotePrefix="0" xfId="0">
      <alignment horizontal="center" vertical="center"/>
    </xf>
    <xf numFmtId="0" fontId="20" fillId="3" borderId="11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20" fillId="7" borderId="11" applyAlignment="1" pivotButton="0" quotePrefix="0" xfId="0">
      <alignment horizontal="left" vertical="center"/>
    </xf>
    <xf numFmtId="0" fontId="23" fillId="7" borderId="1" applyAlignment="1" pivotButton="0" quotePrefix="0" xfId="0">
      <alignment horizontal="left" vertical="center"/>
    </xf>
    <xf numFmtId="0" fontId="24" fillId="2" borderId="10" pivotButton="0" quotePrefix="0" xfId="0"/>
    <xf numFmtId="0" fontId="20" fillId="0" borderId="0" pivotButton="0" quotePrefix="0" xfId="0"/>
    <xf numFmtId="0" fontId="25" fillId="8" borderId="10" applyAlignment="1" pivotButton="0" quotePrefix="0" xfId="0">
      <alignment horizontal="center"/>
    </xf>
    <xf numFmtId="0" fontId="26" fillId="0" borderId="0" pivotButton="0" quotePrefix="0" xfId="0"/>
    <xf numFmtId="0" fontId="20" fillId="9" borderId="10" applyAlignment="1" pivotButton="0" quotePrefix="0" xfId="0">
      <alignment horizontal="center"/>
    </xf>
    <xf numFmtId="164" fontId="20" fillId="10" borderId="1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18" fillId="2" borderId="1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21" fillId="3" borderId="11" applyAlignment="1" pivotButton="0" quotePrefix="0" xfId="0">
      <alignment horizontal="left" vertical="center"/>
    </xf>
    <xf numFmtId="0" fontId="21" fillId="11" borderId="1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0" fontId="21" fillId="12" borderId="11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6" borderId="11" applyAlignment="1" pivotButton="0" quotePrefix="0" xfId="0">
      <alignment horizontal="center" vertical="center"/>
    </xf>
    <xf numFmtId="0" fontId="21" fillId="1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wrapText="1"/>
    </xf>
    <xf numFmtId="0" fontId="18" fillId="2" borderId="11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left" vertical="center" wrapText="1"/>
    </xf>
    <xf numFmtId="0" fontId="21" fillId="3" borderId="11" applyAlignment="1" pivotButton="0" quotePrefix="0" xfId="0">
      <alignment horizontal="center" vertical="center"/>
    </xf>
    <xf numFmtId="164" fontId="21" fillId="3" borderId="11" applyAlignment="1" pivotButton="0" quotePrefix="0" xfId="0">
      <alignment horizontal="center" vertical="center"/>
    </xf>
    <xf numFmtId="0" fontId="28" fillId="11" borderId="11" applyAlignment="1" pivotButton="0" quotePrefix="0" xfId="0">
      <alignment horizontal="center" vertical="center"/>
    </xf>
    <xf numFmtId="3" fontId="28" fillId="11" borderId="11" applyAlignment="1" pivotButton="0" quotePrefix="0" xfId="0">
      <alignment horizontal="center" vertical="center"/>
    </xf>
    <xf numFmtId="0" fontId="28" fillId="11" borderId="11" applyAlignment="1" pivotButton="0" quotePrefix="0" xfId="0">
      <alignment horizontal="center" vertical="center"/>
    </xf>
    <xf numFmtId="167" fontId="28" fillId="11" borderId="11" applyAlignment="1" pivotButton="0" quotePrefix="0" xfId="0">
      <alignment horizontal="center" vertical="center"/>
    </xf>
    <xf numFmtId="164" fontId="20" fillId="10" borderId="11" applyAlignment="1" pivotButton="0" quotePrefix="0" xfId="0">
      <alignment horizontal="center" vertical="center"/>
    </xf>
    <xf numFmtId="3" fontId="26" fillId="12" borderId="11" applyAlignment="1" pivotButton="0" quotePrefix="0" xfId="0">
      <alignment horizontal="center" vertical="center"/>
    </xf>
    <xf numFmtId="164" fontId="26" fillId="12" borderId="11" applyAlignment="1" pivotButton="0" quotePrefix="0" xfId="0">
      <alignment horizontal="center" vertical="center"/>
    </xf>
    <xf numFmtId="3" fontId="28" fillId="11" borderId="11" applyAlignment="1" pivotButton="0" quotePrefix="0" xfId="0">
      <alignment horizontal="center" vertical="center"/>
    </xf>
    <xf numFmtId="0" fontId="21" fillId="7" borderId="11" applyAlignment="1" pivotButton="0" quotePrefix="0" xfId="0">
      <alignment horizontal="center" vertical="center"/>
    </xf>
    <xf numFmtId="0" fontId="21" fillId="7" borderId="11" applyAlignment="1" pivotButton="0" quotePrefix="0" xfId="0">
      <alignment horizontal="left" vertical="center"/>
    </xf>
    <xf numFmtId="164" fontId="21" fillId="7" borderId="11" applyAlignment="1" pivotButton="0" quotePrefix="0" xfId="0">
      <alignment horizontal="center" vertical="center"/>
    </xf>
    <xf numFmtId="3" fontId="21" fillId="11" borderId="11" applyAlignment="1" pivotButton="0" quotePrefix="0" xfId="0">
      <alignment horizontal="center" vertical="center"/>
    </xf>
    <xf numFmtId="0" fontId="21" fillId="7" borderId="11" applyAlignment="1" pivotButton="0" quotePrefix="0" xfId="0">
      <alignment horizontal="left" vertical="center"/>
    </xf>
    <xf numFmtId="0" fontId="28" fillId="0" borderId="11" applyAlignment="1" pivotButton="0" quotePrefix="0" xfId="0">
      <alignment horizontal="center" vertical="center"/>
    </xf>
    <xf numFmtId="0" fontId="29" fillId="5" borderId="11" applyAlignment="1" pivotButton="0" quotePrefix="0" xfId="0">
      <alignment horizontal="center" vertical="center"/>
    </xf>
    <xf numFmtId="3" fontId="21" fillId="11" borderId="11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vertical="center"/>
    </xf>
    <xf numFmtId="0" fontId="14" fillId="5" borderId="11" pivotButton="0" quotePrefix="0" xfId="0"/>
    <xf numFmtId="0" fontId="14" fillId="5" borderId="11" applyAlignment="1" pivotButton="0" quotePrefix="0" xfId="0">
      <alignment horizontal="center"/>
    </xf>
    <xf numFmtId="0" fontId="14" fillId="5" borderId="11" applyAlignment="1" pivotButton="0" quotePrefix="0" xfId="0">
      <alignment horizontal="left"/>
    </xf>
    <xf numFmtId="0" fontId="20" fillId="7" borderId="11" applyAlignment="1" pivotButton="0" quotePrefix="0" xfId="0">
      <alignment horizontal="center" vertical="center"/>
    </xf>
    <xf numFmtId="3" fontId="20" fillId="7" borderId="11" applyAlignment="1" pivotButton="0" quotePrefix="0" xfId="0">
      <alignment horizontal="center" vertical="center"/>
    </xf>
    <xf numFmtId="0" fontId="14" fillId="7" borderId="11" applyAlignment="1" pivotButton="0" quotePrefix="0" xfId="0">
      <alignment horizontal="center"/>
    </xf>
    <xf numFmtId="164" fontId="20" fillId="7" borderId="11" applyAlignment="1" pivotButton="0" quotePrefix="0" xfId="0">
      <alignment horizontal="center" vertical="center"/>
    </xf>
    <xf numFmtId="0" fontId="14" fillId="7" borderId="11" applyAlignment="1" pivotButton="0" quotePrefix="0" xfId="0">
      <alignment horizontal="left"/>
    </xf>
    <xf numFmtId="0" fontId="20" fillId="7" borderId="11" applyAlignment="1" pivotButton="0" quotePrefix="0" xfId="0">
      <alignment horizontal="center" vertical="center"/>
    </xf>
    <xf numFmtId="164" fontId="28" fillId="11" borderId="11" applyAlignment="1" pivotButton="0" quotePrefix="0" xfId="0">
      <alignment horizontal="center" vertical="center"/>
    </xf>
    <xf numFmtId="164" fontId="20" fillId="12" borderId="11" applyAlignment="1" pivotButton="0" quotePrefix="0" xfId="0">
      <alignment horizontal="center" vertical="center"/>
    </xf>
    <xf numFmtId="0" fontId="21" fillId="3" borderId="11" applyAlignment="1" pivotButton="0" quotePrefix="0" xfId="0">
      <alignment horizontal="left" vertical="center" wrapText="1"/>
    </xf>
    <xf numFmtId="0" fontId="21" fillId="7" borderId="11" applyAlignment="1" pivotButton="0" quotePrefix="0" xfId="0">
      <alignment horizontal="left" vertical="center" wrapText="1"/>
    </xf>
    <xf numFmtId="0" fontId="20" fillId="5" borderId="11" applyAlignment="1" pivotButton="0" quotePrefix="0" xfId="0">
      <alignment horizontal="left" vertical="center"/>
    </xf>
    <xf numFmtId="164" fontId="20" fillId="5" borderId="1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18" fillId="2" borderId="11" applyAlignment="1" pivotButton="0" quotePrefix="0" xfId="0">
      <alignment horizontal="left" vertical="center" wrapText="1"/>
    </xf>
    <xf numFmtId="0" fontId="20" fillId="3" borderId="1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 wrapText="1"/>
    </xf>
    <xf numFmtId="0" fontId="24" fillId="2" borderId="11" applyAlignment="1" pivotButton="0" quotePrefix="0" xfId="0">
      <alignment horizontal="center" vertical="center"/>
    </xf>
    <xf numFmtId="164" fontId="18" fillId="2" borderId="11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11" applyAlignment="1" pivotButton="0" quotePrefix="0" xfId="0">
      <alignment horizontal="left" vertical="center"/>
    </xf>
    <xf numFmtId="164" fontId="20" fillId="3" borderId="11" applyAlignment="1" pivotButton="0" quotePrefix="0" xfId="0">
      <alignment horizontal="center" vertical="center"/>
    </xf>
    <xf numFmtId="164" fontId="20" fillId="13" borderId="1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18" fillId="2" borderId="10" applyAlignment="1" pivotButton="0" quotePrefix="0" xfId="0">
      <alignment horizontal="center"/>
    </xf>
    <xf numFmtId="164" fontId="21" fillId="12" borderId="1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168" fontId="26" fillId="7" borderId="10" pivotButton="0" quotePrefix="0" xfId="0"/>
    <xf numFmtId="168" fontId="14" fillId="0" borderId="0" pivotButton="0" quotePrefix="0" xfId="0"/>
    <xf numFmtId="164" fontId="20" fillId="12" borderId="11" applyAlignment="1" pivotButton="0" quotePrefix="0" xfId="0">
      <alignment horizontal="right" vertical="center"/>
    </xf>
    <xf numFmtId="164" fontId="20" fillId="13" borderId="11" applyAlignment="1" pivotButton="0" quotePrefix="0" xfId="0">
      <alignment horizontal="right" vertical="center"/>
    </xf>
    <xf numFmtId="0" fontId="20" fillId="6" borderId="11" applyAlignment="1" pivotButton="0" quotePrefix="0" xfId="0">
      <alignment horizontal="center" vertical="center"/>
    </xf>
    <xf numFmtId="0" fontId="2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4" applyAlignment="1" pivotButton="0" quotePrefix="0" xfId="0">
      <alignment horizontal="center" vertical="center"/>
    </xf>
    <xf numFmtId="0" fontId="0" fillId="0" borderId="12" pivotButton="0" quotePrefix="0" xfId="0"/>
    <xf numFmtId="0" fontId="4" fillId="3" borderId="1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4" borderId="15" applyAlignment="1" pivotButton="0" quotePrefix="0" xfId="0">
      <alignment horizontal="center" vertical="center"/>
    </xf>
    <xf numFmtId="164" fontId="5" fillId="3" borderId="15" applyAlignment="1" pivotButton="0" quotePrefix="0" xfId="0">
      <alignment horizontal="center" vertical="center"/>
    </xf>
    <xf numFmtId="164" fontId="5" fillId="4" borderId="15" applyAlignment="1" pivotButton="0" quotePrefix="0" xfId="0">
      <alignment horizontal="center" vertical="center"/>
    </xf>
    <xf numFmtId="165" fontId="6" fillId="3" borderId="15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4" borderId="15" applyAlignment="1" pivotButton="0" quotePrefix="0" xfId="0">
      <alignment horizontal="center" vertical="center"/>
    </xf>
    <xf numFmtId="0" fontId="9" fillId="5" borderId="11" applyAlignment="1" pivotButton="0" quotePrefix="0" xfId="0">
      <alignment horizontal="left" vertical="center"/>
    </xf>
    <xf numFmtId="0" fontId="22" fillId="3" borderId="11" applyAlignment="1" pivotButton="0" quotePrefix="0" xfId="0">
      <alignment horizontal="left" vertical="center"/>
    </xf>
    <xf numFmtId="0" fontId="23" fillId="7" borderId="11" applyAlignment="1" pivotButton="0" quotePrefix="0" xfId="0">
      <alignment horizontal="left" vertical="center"/>
    </xf>
    <xf numFmtId="0" fontId="27" fillId="2" borderId="11" applyAlignment="1" pivotButton="0" quotePrefix="0" xfId="0">
      <alignment horizontal="center" vertical="center"/>
    </xf>
    <xf numFmtId="0" fontId="20" fillId="3" borderId="11" applyAlignment="1" pivotButton="0" quotePrefix="0" xfId="0">
      <alignment horizontal="left" vertical="center" wrapText="1"/>
    </xf>
    <xf numFmtId="0" fontId="18" fillId="2" borderId="11" applyAlignment="1" pivotButton="0" quotePrefix="0" xfId="0">
      <alignment horizontal="left" vertical="center"/>
    </xf>
    <xf numFmtId="0" fontId="20" fillId="13" borderId="11" applyAlignment="1" pivotButton="0" quotePrefix="0" xfId="0">
      <alignment horizontal="left" vertical="center" wrapText="1"/>
    </xf>
    <xf numFmtId="0" fontId="9" fillId="5" borderId="11" applyAlignment="1" pivotButton="0" quotePrefix="0" xfId="0">
      <alignment horizontal="center" vertical="center"/>
    </xf>
    <xf numFmtId="0" fontId="30" fillId="4" borderId="11" applyAlignment="1" pivotButton="0" quotePrefix="0" xfId="0">
      <alignment horizontal="center" vertical="center" wrapText="1"/>
    </xf>
    <xf numFmtId="0" fontId="20" fillId="4" borderId="11" applyAlignment="1" pivotButton="0" quotePrefix="0" xfId="0">
      <alignment horizontal="left" vertical="center" wrapText="1"/>
    </xf>
    <xf numFmtId="0" fontId="21" fillId="4" borderId="11" applyAlignment="1" pivotButton="0" quotePrefix="0" xfId="0">
      <alignment horizontal="left" vertical="center" wrapText="1"/>
    </xf>
    <xf numFmtId="0" fontId="0" fillId="2" borderId="0" pivotButton="0" quotePrefix="0" xfId="0"/>
    <xf numFmtId="0" fontId="18" fillId="2" borderId="11" applyAlignment="1" pivotButton="0" quotePrefix="0" xfId="0">
      <alignment horizontal="center" vertical="center" wrapText="1"/>
    </xf>
    <xf numFmtId="167" fontId="21" fillId="3" borderId="11" applyAlignment="1" pivotButton="0" quotePrefix="0" xfId="0">
      <alignment horizontal="center" vertical="center"/>
    </xf>
    <xf numFmtId="3" fontId="21" fillId="3" borderId="11" applyAlignment="1" pivotButton="0" quotePrefix="0" xfId="0">
      <alignment horizontal="center" vertical="center"/>
    </xf>
    <xf numFmtId="164" fontId="21" fillId="11" borderId="11" applyAlignment="1" pivotButton="0" quotePrefix="0" xfId="0">
      <alignment horizontal="right" vertical="center"/>
    </xf>
    <xf numFmtId="164" fontId="20" fillId="11" borderId="11" applyAlignment="1" pivotButton="0" quotePrefix="0" xfId="0">
      <alignment horizontal="right" vertical="center"/>
    </xf>
    <xf numFmtId="164" fontId="26" fillId="12" borderId="11" applyAlignment="1" pivotButton="0" quotePrefix="0" xfId="0">
      <alignment horizontal="right" vertical="center"/>
    </xf>
    <xf numFmtId="0" fontId="20" fillId="13" borderId="15" applyAlignment="1" pivotButton="0" quotePrefix="0" xfId="0">
      <alignment horizontal="center" vertical="center"/>
    </xf>
    <xf numFmtId="167" fontId="20" fillId="13" borderId="15" applyAlignment="1" pivotButton="0" quotePrefix="0" xfId="0">
      <alignment horizontal="center" vertical="center"/>
    </xf>
    <xf numFmtId="3" fontId="20" fillId="13" borderId="15" applyAlignment="1" pivotButton="0" quotePrefix="0" xfId="0">
      <alignment horizontal="center" vertical="center"/>
    </xf>
    <xf numFmtId="164" fontId="20" fillId="13" borderId="15" applyAlignment="1" pivotButton="0" quotePrefix="0" xfId="0">
      <alignment horizontal="right" vertical="center"/>
    </xf>
    <xf numFmtId="0" fontId="0" fillId="5" borderId="0" pivotButton="0" quotePrefix="0" xfId="0"/>
    <xf numFmtId="0" fontId="8" fillId="5" borderId="11" applyAlignment="1" pivotButton="0" quotePrefix="0" xfId="0">
      <alignment horizontal="left" vertical="center"/>
    </xf>
    <xf numFmtId="3" fontId="16" fillId="14" borderId="11" applyAlignment="1" pivotButton="0" quotePrefix="0" xfId="0">
      <alignment horizontal="center" vertical="center"/>
    </xf>
    <xf numFmtId="0" fontId="16" fillId="14" borderId="11" applyAlignment="1" pivotButton="0" quotePrefix="0" xfId="0">
      <alignment horizontal="left" vertical="center"/>
    </xf>
    <xf numFmtId="0" fontId="16" fillId="14" borderId="11" applyAlignment="1" pivotButton="0" quotePrefix="0" xfId="0">
      <alignment horizontal="center" vertical="center"/>
    </xf>
    <xf numFmtId="164" fontId="16" fillId="14" borderId="11" applyAlignment="1" pivotButton="0" quotePrefix="0" xfId="0">
      <alignment horizontal="right" vertical="center"/>
    </xf>
    <xf numFmtId="167" fontId="16" fillId="14" borderId="11" applyAlignment="1" pivotButton="0" quotePrefix="0" xfId="0">
      <alignment horizontal="center" vertical="center"/>
    </xf>
    <xf numFmtId="0" fontId="0" fillId="3" borderId="0" pivotButton="0" quotePrefix="0" xfId="0"/>
    <xf numFmtId="0" fontId="26" fillId="3" borderId="11" applyAlignment="1" pivotButton="0" quotePrefix="0" xfId="0">
      <alignment horizontal="left" vertical="center"/>
    </xf>
  </cellXfs>
  <cellStyles count="1">
    <cellStyle name="Normal" xfId="0" builtinId="0"/>
  </cellStyles>
  <dxfs count="9"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FF065F46"/>
      </font>
      <fill>
        <patternFill patternType="solid">
          <fgColor rgb="FFD1FAE5"/>
          <bgColor rgb="FFD1FAE5"/>
        </patternFill>
      </fill>
      <border/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name val="Arial"/>
        <b val="1"/>
        <color rgb="FFCC0000"/>
        <sz val="10"/>
      </font>
      <fill>
        <patternFill patternType="solid">
          <fgColor rgb="FFFECACA"/>
          <bgColor rgb="FFFECACA"/>
        </patternFill>
      </fill>
    </dxf>
    <dxf>
      <fill>
        <patternFill patternType="solid">
          <fgColor rgb="FFFED7AA"/>
          <bgColor rgb="FFFED7AA"/>
        </patternFill>
      </fill>
    </dxf>
    <dxf>
      <fill>
        <patternFill patternType="solid">
          <fgColor rgb="FFBBF7D0"/>
          <bgColor rgb="FFBBF7D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500" b="1" i="0">
                <a:solidFill>
                  <a:srgbClr val="0A1849"/>
                </a:solidFill>
                <a:latin typeface="Arial"/>
              </a:defRPr>
            </a:pPr>
            <a:r>
              <a:rPr sz="1500" b="1" i="0">
                <a:solidFill>
                  <a:srgbClr val="0A1849"/>
                </a:solidFill>
                <a:latin typeface="Arial"/>
              </a:rPr>
              <a:t>Weekly Cash Path  —  Trough $192,798  ·  Levers add +$81,032 vs baseline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Baseline (Finance)</v>
          </tx>
          <spPr>
            <a:ln xmlns:a="http://schemas.openxmlformats.org/drawingml/2006/main" w="28575" cmpd="sng">
              <a:solidFill>
                <a:srgbClr val="FFBA00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'07_Weekly_Engine'!$V$5:$V$38</f>
            </strRef>
          </cat>
          <val>
            <numRef>
              <f>'07_Weekly_Engine'!$W$5:$W$38</f>
              <numCache/>
            </numRef>
          </val>
          <smooth val="1"/>
        </ser>
        <ser>
          <idx val="1"/>
          <order val="1"/>
          <tx>
            <v>Adjusted Ending Cash</v>
          </tx>
          <spPr>
            <a:ln xmlns:a="http://schemas.openxmlformats.org/drawingml/2006/main" w="38100" cmpd="sng">
              <a:solidFill>
                <a:srgbClr val="0A18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'07_Weekly_Engine'!$V$5:$V$38</f>
            </strRef>
          </cat>
          <val>
            <numRef>
              <f>'07_Weekly_Engine'!$X$5:$X$38</f>
              <numCache/>
            </numRef>
          </val>
          <smooth val="1"/>
        </ser>
        <ser>
          <idx val="2"/>
          <order val="2"/>
          <tx>
            <v>Danger ($500K)</v>
          </tx>
          <spPr>
            <a:ln xmlns:a="http://schemas.openxmlformats.org/drawingml/2006/main" w="9525" cmpd="sng">
              <a:solidFill>
                <a:srgbClr val="DC262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'07_Weekly_Engine'!$V$5:$V$38</f>
            </strRef>
          </cat>
          <val>
            <numRef>
              <f>'07_Weekly_Engine'!$Y$5:$Y$38</f>
              <numCache/>
            </numRef>
          </val>
          <smooth val="1"/>
        </ser>
        <ser>
          <idx val="3"/>
          <order val="3"/>
          <tx>
            <v>Target ($1.5M)</v>
          </tx>
          <spPr>
            <a:ln xmlns:a="http://schemas.openxmlformats.org/drawingml/2006/main" w="9525" cmpd="sng">
              <a:solidFill>
                <a:srgbClr val="9CA3AF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'07_Weekly_Engine'!$V$5:$V$38</f>
            </strRef>
          </cat>
          <val>
            <numRef>
              <f>'07_Weekly_Engine'!$Z$5:$Z$38</f>
              <numCache/>
            </numRef>
          </val>
          <smooth val="1"/>
        </ser>
        <axId val="1249557109"/>
        <axId val="431977199"/>
      </lineChart>
      <catAx>
        <axId val="124955710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100" b="1" i="0">
                    <a:solidFill>
                      <a:srgbClr val="0A1849"/>
                    </a:solidFill>
                    <a:latin typeface="Arial"/>
                  </a:defRPr>
                </a:pPr>
                <a:r>
                  <a:rPr sz="1100" b="1" i="0">
                    <a:solidFill>
                      <a:srgbClr val="0A1849"/>
                    </a:solidFill>
                    <a:latin typeface="Arial"/>
                  </a:rPr>
                  <a:t>Week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6B7180"/>
                </a:solidFill>
                <a:latin typeface="Arial"/>
              </a:defRPr>
            </a:pPr>
            <a:r>
              <a:t/>
            </a:r>
          </a:p>
        </txPr>
        <crossAx val="431977199"/>
        <lblOffset val="100"/>
      </catAx>
      <valAx>
        <axId val="431977199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100" b="1" i="0">
                    <a:solidFill>
                      <a:srgbClr val="0A1849"/>
                    </a:solidFill>
                    <a:latin typeface="Arial"/>
                  </a:defRPr>
                </a:pPr>
                <a:r>
                  <a:rPr sz="1100" b="1" i="0">
                    <a:solidFill>
                      <a:srgbClr val="0A1849"/>
                    </a:solidFill>
                    <a:latin typeface="Arial"/>
                  </a:rPr>
                  <a:t>Ending Cash Balance</a:t>
                </a:r>
              </a:p>
            </rich>
          </tx>
          <overlay val="0"/>
        </title>
        <numFmt formatCode="&quot;$&quot;#,##0,&quot;K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A1849"/>
                </a:solidFill>
                <a:latin typeface="Arial"/>
              </a:defRPr>
            </a:pPr>
            <a:r>
              <a:t/>
            </a:r>
          </a:p>
        </txPr>
        <crossAx val="1249557109"/>
        <majorUnit val="500000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100" b="0" i="0">
              <a:solidFill>
                <a:srgbClr val="0A1849"/>
              </a:solidFill>
              <a:latin typeface="Arial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C44" authorId="0" shapeId="0">
      <text>
        <t>Microsoft Office User:
Employees with Tranche="None" (vs explicit "None (protected)"). Each one needs to be either assigned a tranche or marked protected. Currently: Ivo Novosad, Robin Wolny, Marek Odraska, Jiri Stefek, Jan Mátl — all Czech.</t>
      </text>
    </comment>
    <comment ref="C45" authorId="0" shapeId="0">
      <text>
        <t>Microsoft Office User:
Number of weeks with non-zero bookings inflow in the Weekly Engine. Currently bookings are only modeled in 1 week (W53) — verify this matches expected bookings cadence.</t>
      </text>
    </comment>
    <comment ref="C46" authorId="0" shapeId="0">
      <text>
        <t>Microsoft Office User:
Sum of line-item adjustments on Cost Levers sheet. If zero, the T1a column in Weekly Engine has no effect.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7</row>
      <rowOff>0</rowOff>
    </from>
    <ext cx="11182350" cy="6315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A1849"/>
    <outlinePr summaryBelow="1" summaryRight="1"/>
    <pageSetUpPr/>
  </sheetPr>
  <dimension ref="B1:N4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37.71" customWidth="1" style="121" min="2" max="2"/>
    <col width="18.43" customWidth="1" style="121" min="3" max="3"/>
    <col width="16" customWidth="1" style="121" min="4" max="7"/>
    <col width="18" customWidth="1" style="121" min="8" max="8"/>
    <col width="16" customWidth="1" style="121" min="9" max="10"/>
    <col width="10.14" customWidth="1" style="121" min="11" max="13"/>
    <col width="16" customWidth="1" style="121" min="14" max="14"/>
    <col width="8.859999999999999" customWidth="1" style="121" min="15" max="15"/>
  </cols>
  <sheetData>
    <row r="1" ht="25.5" customHeight="1" s="121">
      <c r="B1" s="122" t="inlineStr">
        <is>
          <t>CLASS CASH DASHBOARD</t>
        </is>
      </c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4" t="n"/>
    </row>
    <row r="2" ht="25.5" customHeight="1" s="121">
      <c r="B2" s="125" t="inlineStr">
        <is>
          <t xml:space="preserve">JULY 26 CASH TROUGH 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</row>
    <row r="3" ht="18" customHeight="1" s="121">
      <c r="B3" s="127" t="inlineStr">
        <is>
          <t>Finance Baseline Trough</t>
        </is>
      </c>
      <c r="C3" s="128" t="n"/>
      <c r="D3" s="129" t="n"/>
      <c r="E3" s="130" t="inlineStr">
        <is>
          <t>Adjusted Scenario Trough</t>
        </is>
      </c>
      <c r="F3" s="128" t="n"/>
      <c r="G3" s="129" t="n"/>
      <c r="H3" s="127" t="inlineStr">
        <is>
          <t>Δ vs Baseline</t>
        </is>
      </c>
      <c r="I3" s="128" t="n"/>
      <c r="J3" s="129" t="n"/>
      <c r="K3" s="127" t="inlineStr">
        <is>
          <t>Weeks Below $500K</t>
        </is>
      </c>
      <c r="L3" s="128" t="n"/>
      <c r="M3" s="128" t="n"/>
      <c r="N3" s="129" t="n"/>
    </row>
    <row r="4" ht="30" customHeight="1" s="121">
      <c r="B4" s="131">
        <f>MIN('07_Weekly_Engine'!F5:F38)</f>
        <v/>
      </c>
      <c r="C4" s="128" t="n"/>
      <c r="D4" s="129" t="n"/>
      <c r="E4" s="132">
        <f>MIN('07_Weekly_Engine'!N5:N38)</f>
        <v/>
      </c>
      <c r="F4" s="128" t="n"/>
      <c r="G4" s="129" t="n"/>
      <c r="H4" s="133">
        <f>E4-B4</f>
        <v/>
      </c>
      <c r="I4" s="128" t="n"/>
      <c r="J4" s="129" t="n"/>
      <c r="K4" s="134">
        <f>COUNTIF('07_Weekly_Engine'!N5:N38,"&lt;500000")</f>
        <v/>
      </c>
      <c r="L4" s="128" t="n"/>
      <c r="M4" s="128" t="n"/>
      <c r="N4" s="129" t="n"/>
    </row>
    <row r="5" ht="15.75" customHeight="1" s="121">
      <c r="B5" s="135" t="inlineStr">
        <is>
          <t>Week #30 (July 26, 2026)</t>
        </is>
      </c>
      <c r="C5" s="128" t="n"/>
      <c r="D5" s="129" t="n"/>
      <c r="E5" s="136" t="inlineStr">
        <is>
          <t>Min ending cash across all weeks</t>
        </is>
      </c>
      <c r="F5" s="128" t="n"/>
      <c r="G5" s="129" t="n"/>
      <c r="H5" s="135" t="inlineStr">
        <is>
          <t>Positive = your levers help</t>
        </is>
      </c>
      <c r="I5" s="128" t="n"/>
      <c r="J5" s="129" t="n"/>
      <c r="K5" s="135" t="inlineStr">
        <is>
          <t>Lower = better</t>
        </is>
      </c>
      <c r="L5" s="128" t="n"/>
      <c r="M5" s="128" t="n"/>
      <c r="N5" s="129" t="n"/>
    </row>
    <row r="7" ht="21.75" customHeight="1" s="121">
      <c r="B7" s="137" t="inlineStr">
        <is>
          <t>WEEKLY CASH PATH — FINANCE BASELINE vs ADJUSTED SCENARIO</t>
        </is>
      </c>
      <c r="C7" s="123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23" t="n"/>
      <c r="N7" s="124" t="n"/>
    </row>
    <row r="8" ht="349.5" customHeight="1" s="121"/>
    <row r="19" ht="15.75" customHeight="1" s="121"/>
    <row r="20" ht="15.75" customHeight="1" s="121"/>
    <row r="21" ht="15.75" customHeight="1" s="121"/>
    <row r="22" ht="15.75" customHeight="1" s="121"/>
    <row r="23" ht="15.75" customHeight="1" s="121"/>
    <row r="24" ht="15.75" customHeight="1" s="121"/>
    <row r="25" ht="15.75" customHeight="1" s="121"/>
    <row r="26" hidden="1" ht="15.75" customHeight="1" s="121">
      <c r="B26" s="18" t="inlineStr">
        <is>
          <t>HOW TO READ</t>
        </is>
      </c>
      <c r="C26" s="19" t="inlineStr">
        <is>
          <t>━ ━  Baseline (Finance) — board-deck path with no cost actions</t>
        </is>
      </c>
      <c r="E26" s="20" t="inlineStr">
        <is>
          <t>─── Adjusted — your levers applied (severance, cost cuts, bookings)</t>
        </is>
      </c>
      <c r="G26" s="21" t="inlineStr">
        <is>
          <t>◆ Trough = lowest point of cash year</t>
        </is>
      </c>
    </row>
    <row r="27" hidden="1" ht="15.75" customHeight="1" s="121">
      <c r="B27" s="22" t="n"/>
      <c r="C27" s="23" t="inlineStr">
        <is>
          <t>━ ━  Danger floor ($500K) — burn-out risk</t>
        </is>
      </c>
      <c r="E27" s="24" t="inlineStr">
        <is>
          <t>━ ━  Target floor ($1.5M) — comfortable operating level</t>
        </is>
      </c>
      <c r="G27" s="25" t="inlineStr">
        <is>
          <t>Gap (navy − gold) = $ added by your levers</t>
        </is>
      </c>
    </row>
    <row r="28" ht="21.75" customHeight="1" s="121">
      <c r="B28" s="137" t="inlineStr">
        <is>
          <t>SCENARIO SUMMARY — TROUGH &amp; ENDING CASH</t>
        </is>
      </c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4" t="n"/>
    </row>
    <row r="29" ht="24" customHeight="1" s="121">
      <c r="B29" s="60" t="inlineStr">
        <is>
          <t>Scenario</t>
        </is>
      </c>
      <c r="C29" s="60" t="inlineStr">
        <is>
          <t>July 26 Trough</t>
        </is>
      </c>
      <c r="D29" s="60" t="inlineStr">
        <is>
          <t>Δ vs Baseline</t>
        </is>
      </c>
      <c r="E29" s="60" t="inlineStr">
        <is>
          <t>Jan 3 Ending</t>
        </is>
      </c>
      <c r="F29" s="60" t="inlineStr">
        <is>
          <t>Heads Cut</t>
        </is>
      </c>
      <c r="G29" s="60" t="inlineStr">
        <is>
          <t>Total Severance</t>
        </is>
      </c>
      <c r="H29" s="60" t="inlineStr">
        <is>
          <t>Annual FL Savings</t>
        </is>
      </c>
      <c r="I29" s="27" t="n"/>
    </row>
    <row r="30" ht="15.75" customHeight="1" s="121">
      <c r="B30" s="28" t="inlineStr">
        <is>
          <t>Finance Baseline (= Board Deck)</t>
        </is>
      </c>
      <c r="C30" s="29">
        <f>MIN('07_Weekly_Engine'!F5:F38)</f>
        <v/>
      </c>
      <c r="D30" s="29">
        <f>C30-C30</f>
        <v/>
      </c>
      <c r="E30" s="29">
        <f>'07_Weekly_Engine'!F38</f>
        <v/>
      </c>
      <c r="F30" s="30" t="inlineStr">
        <is>
          <t>—</t>
        </is>
      </c>
      <c r="G30" s="30" t="inlineStr">
        <is>
          <t>—</t>
        </is>
      </c>
      <c r="H30" s="30" t="inlineStr">
        <is>
          <t>—</t>
        </is>
      </c>
      <c r="I30" s="27" t="n"/>
    </row>
    <row r="31" ht="15.75" customHeight="1" s="121">
      <c r="B31" s="31" t="inlineStr">
        <is>
          <t>Your Adjusted Scenario</t>
        </is>
      </c>
      <c r="C31" s="32">
        <f>MIN('07_Weekly_Engine'!N5:N38)</f>
        <v/>
      </c>
      <c r="D31" s="33">
        <f>C31-C30</f>
        <v/>
      </c>
      <c r="E31" s="32">
        <f>'07_Weekly_Engine'!N38</f>
        <v/>
      </c>
      <c r="F31" s="34">
        <f>COUNTIFS('02_Severance_Inputs'!I18:I45,"&lt;&gt;None",'02_Severance_Inputs'!I18:I45,"&lt;&gt;None (protected)")</f>
        <v/>
      </c>
      <c r="G31" s="32">
        <f>SUM('02_Severance_Inputs'!M18:M45)</f>
        <v/>
      </c>
      <c r="H31" s="32">
        <f>SUM('02_Severance_Inputs'!N18:N45)*52</f>
        <v/>
      </c>
      <c r="I31" s="27" t="n"/>
    </row>
    <row r="32" ht="15.75" customHeight="1" s="121">
      <c r="C32" s="27" t="n"/>
      <c r="D32" s="27" t="n"/>
      <c r="E32" s="27" t="n"/>
      <c r="F32" s="27" t="n"/>
      <c r="G32" s="27" t="n"/>
      <c r="H32" s="27" t="n"/>
      <c r="I32" s="27" t="n"/>
    </row>
    <row r="33" ht="15.75" customHeight="1" s="121"/>
    <row r="34" ht="21.75" customHeight="1" s="121">
      <c r="B34" s="137" t="inlineStr">
        <is>
          <t>QUICK ACTIONS</t>
        </is>
      </c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4" t="n"/>
    </row>
    <row r="35" ht="15.75" customHeight="1" s="121">
      <c r="B35" s="35" t="inlineStr">
        <is>
          <t>Edit who is cut and severance terms</t>
        </is>
      </c>
      <c r="C35" s="138" t="inlineStr">
        <is>
          <t>→ Go to Severance Inputs</t>
        </is>
      </c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4" t="n"/>
    </row>
    <row r="36" ht="15.75" customHeight="1" s="121">
      <c r="B36" s="37" t="inlineStr">
        <is>
          <t>Adjust AWS / software / line items</t>
        </is>
      </c>
      <c r="C36" s="139" t="inlineStr">
        <is>
          <t>→ Go to Cost Levers</t>
        </is>
      </c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4" t="n"/>
    </row>
    <row r="37" ht="15.75" customHeight="1" s="121">
      <c r="B37" s="35" t="inlineStr">
        <is>
          <t>Change new sales bookings projection</t>
        </is>
      </c>
      <c r="C37" s="138" t="inlineStr">
        <is>
          <t>→ Go to Bookings Inputs</t>
        </is>
      </c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4" t="n"/>
    </row>
    <row r="38" ht="15.75" customHeight="1" s="121">
      <c r="B38" s="37" t="inlineStr">
        <is>
          <t>See AWS detailed scenario modeling</t>
        </is>
      </c>
      <c r="C38" s="139" t="inlineStr">
        <is>
          <t>→ Go to AWS Analysis</t>
        </is>
      </c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4" t="n"/>
    </row>
    <row r="39" ht="15.75" customHeight="1" s="121">
      <c r="B39" s="35" t="inlineStr">
        <is>
          <t>See where Finance may be conservative</t>
        </is>
      </c>
      <c r="C39" s="138" t="inlineStr">
        <is>
          <t>→ Go to NS Variance</t>
        </is>
      </c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4" t="n"/>
    </row>
    <row r="40" ht="15.75" customHeight="1" s="121">
      <c r="B40" s="37" t="inlineStr">
        <is>
          <t>See full weekly calculation engine</t>
        </is>
      </c>
      <c r="C40" s="139" t="inlineStr">
        <is>
          <t>→ Go to Weekly Engine</t>
        </is>
      </c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4" t="n"/>
    </row>
    <row r="41" ht="15.75" customHeight="1" s="121"/>
    <row r="42" ht="15.75" customHeight="1" s="121"/>
    <row r="43" ht="15.75" customHeight="1" s="121">
      <c r="B43" s="39" t="inlineStr">
        <is>
          <t>OPEN QUESTIONS</t>
        </is>
      </c>
      <c r="C43" s="22" t="n"/>
      <c r="D43" s="22" t="n"/>
      <c r="E43" s="22" t="n"/>
      <c r="F43" s="22" t="n"/>
      <c r="G43" s="22" t="n"/>
      <c r="H43" s="22" t="n"/>
    </row>
    <row r="44" ht="15.75" customHeight="1" s="121">
      <c r="B44" s="40" t="inlineStr">
        <is>
          <t>Ambiguous tranche assignments</t>
        </is>
      </c>
      <c r="C44" s="41">
        <f>COUNTIF('02_Severance_Inputs'!I18:I45,"None")</f>
        <v/>
      </c>
      <c r="D44" s="42" t="inlineStr">
        <is>
          <t>employees with Tranche="None" — should be "None (protected)" or an actual tranche</t>
        </is>
      </c>
    </row>
    <row r="45" ht="15.75" customHeight="1" s="121">
      <c r="B45" s="40" t="inlineStr">
        <is>
          <t>Bookings inflow active weeks</t>
        </is>
      </c>
      <c r="C45" s="43">
        <f>COUNTIF('07_Weekly_Engine'!L5:L38,"&gt;0")</f>
        <v/>
      </c>
      <c r="D45" s="42" t="inlineStr">
        <is>
          <t>weeks have non-zero bookings — verify cadence matches expectation</t>
        </is>
      </c>
    </row>
    <row r="46" ht="15.75" customHeight="1" s="121">
      <c r="B46" s="40" t="inlineStr">
        <is>
          <t>Cost Lever T1a Annual Adjustment</t>
        </is>
      </c>
      <c r="C46" s="44">
        <f>'03_Cost_Levers'!E16</f>
        <v/>
      </c>
      <c r="D46" s="42" t="inlineStr">
        <is>
          <t>T1a contribution (zero = lever defined but inactive)</t>
        </is>
      </c>
    </row>
    <row r="47" ht="15.75" customHeight="1" s="121"/>
  </sheetData>
  <mergeCells count="23">
    <mergeCell ref="C40:N40"/>
    <mergeCell ref="K4:N4"/>
    <mergeCell ref="K3:N3"/>
    <mergeCell ref="C36:N36"/>
    <mergeCell ref="C39:N39"/>
    <mergeCell ref="B7:N7"/>
    <mergeCell ref="H3:J3"/>
    <mergeCell ref="K5:N5"/>
    <mergeCell ref="B5:D5"/>
    <mergeCell ref="C38:N38"/>
    <mergeCell ref="H5:J5"/>
    <mergeCell ref="C37:N37"/>
    <mergeCell ref="B4:D4"/>
    <mergeCell ref="E3:G3"/>
    <mergeCell ref="B34:N34"/>
    <mergeCell ref="B2:N2"/>
    <mergeCell ref="B3:D3"/>
    <mergeCell ref="B1:N1"/>
    <mergeCell ref="E5:G5"/>
    <mergeCell ref="H4:J4"/>
    <mergeCell ref="E4:G4"/>
    <mergeCell ref="C35:N35"/>
    <mergeCell ref="B28:N28"/>
  </mergeCells>
  <conditionalFormatting sqref="E4">
    <cfRule type="expression" priority="1" dxfId="0">
      <formula>E4&lt;B4-200000</formula>
    </cfRule>
    <cfRule type="expression" priority="2" dxfId="1">
      <formula>E4&gt;=B4</formula>
    </cfRule>
  </conditionalFormatting>
  <conditionalFormatting sqref="H4">
    <cfRule type="cellIs" priority="3" operator="greaterThanOrEqual" dxfId="1">
      <formula>0</formula>
    </cfRule>
    <cfRule type="cellIs" priority="4" operator="lessThan" dxfId="0">
      <formula>0</formula>
    </cfRule>
  </conditionalFormatting>
  <hyperlinks>
    <hyperlink ref="C35" location="'02_Severance_Inputs'!A1" display="→ Go to Severance Inputs"/>
    <hyperlink ref="C36" location="'03_Cost_Levers'!A1" display="→ Go to Cost Levers"/>
    <hyperlink ref="C37" location="'04_Bookings_Inputs'!A1" display="→ Go to Bookings Inputs"/>
    <hyperlink ref="C38" location="'05_AWS_Analysis'!A1" display="→ Go to AWS Analysis"/>
    <hyperlink ref="C39" location="'06_NS_Variance'!A1" display="→ Go to NS Variance"/>
    <hyperlink ref="C40" location="'07_Weekly_Engine'!A1" display="→ Go to Weekly Engine"/>
  </hyperlinks>
  <pageMargins left="0.75" right="0.75" top="1" bottom="1" header="0" footer="0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BA00"/>
    <outlinePr summaryBelow="1" summaryRight="1"/>
    <pageSetUpPr/>
  </sheetPr>
  <dimension ref="B1:H45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22" customWidth="1" style="121" min="2" max="8"/>
    <col width="8.859999999999999" customWidth="1" style="121" min="9" max="26"/>
  </cols>
  <sheetData>
    <row r="1" ht="25.5" customHeight="1" s="121">
      <c r="B1" s="122" t="inlineStr">
        <is>
          <t>CLASS TECHNOLOGIES — CASH LEVER MODEL v5</t>
        </is>
      </c>
      <c r="C1" s="123" t="n"/>
      <c r="D1" s="123" t="n"/>
      <c r="E1" s="123" t="n"/>
      <c r="F1" s="123" t="n"/>
      <c r="G1" s="123" t="n"/>
      <c r="H1" s="124" t="n"/>
    </row>
    <row r="2" ht="18" customHeight="1" s="121">
      <c r="B2" s="140" t="inlineStr">
        <is>
          <t>How to Use This Workbook  |  May 18, 2026</t>
        </is>
      </c>
      <c r="C2" s="123" t="n"/>
      <c r="D2" s="123" t="n"/>
      <c r="E2" s="123" t="n"/>
      <c r="F2" s="123" t="n"/>
      <c r="G2" s="123" t="n"/>
      <c r="H2" s="124" t="n"/>
    </row>
    <row r="4" ht="21.75" customHeight="1" s="121">
      <c r="B4" s="137" t="inlineStr">
        <is>
          <t>HOW THIS MODEL WORKS</t>
        </is>
      </c>
      <c r="C4" s="123" t="n"/>
      <c r="D4" s="123" t="n"/>
      <c r="E4" s="123" t="n"/>
      <c r="F4" s="123" t="n"/>
      <c r="G4" s="123" t="n"/>
      <c r="H4" s="124" t="n"/>
    </row>
    <row r="5" ht="18" customHeight="1" s="121">
      <c r="B5" s="92" t="inlineStr">
        <is>
          <t>PURPOSE: Answer this single question — 'What levers, pulled in the next 6 weeks, change the July 26 cash trough?'</t>
        </is>
      </c>
      <c r="C5" s="123" t="n"/>
      <c r="D5" s="123" t="n"/>
      <c r="E5" s="123" t="n"/>
      <c r="F5" s="123" t="n"/>
      <c r="G5" s="123" t="n"/>
      <c r="H5" s="124" t="n"/>
    </row>
    <row r="6" ht="7.5" customHeight="1" s="121">
      <c r="B6" s="92" t="n"/>
      <c r="C6" s="123" t="n"/>
      <c r="D6" s="123" t="n"/>
      <c r="E6" s="123" t="n"/>
      <c r="F6" s="123" t="n"/>
      <c r="G6" s="123" t="n"/>
      <c r="H6" s="124" t="n"/>
    </row>
    <row r="7" ht="18" customHeight="1" s="121">
      <c r="B7" s="141" t="inlineStr">
        <is>
          <t>STRUCTURE:</t>
        </is>
      </c>
      <c r="C7" s="123" t="n"/>
      <c r="D7" s="123" t="n"/>
      <c r="E7" s="123" t="n"/>
      <c r="F7" s="123" t="n"/>
      <c r="G7" s="123" t="n"/>
      <c r="H7" s="124" t="n"/>
    </row>
    <row r="8" ht="18" customHeight="1" s="121">
      <c r="B8" s="92" t="inlineStr">
        <is>
          <t xml:space="preserve">  • 01_DASHBOARD — the live view (cash chart, scenario summary, July headline)</t>
        </is>
      </c>
      <c r="C8" s="123" t="n"/>
      <c r="D8" s="123" t="n"/>
      <c r="E8" s="123" t="n"/>
      <c r="F8" s="123" t="n"/>
      <c r="G8" s="123" t="n"/>
      <c r="H8" s="124" t="n"/>
    </row>
    <row r="9" ht="18" customHeight="1" s="121">
      <c r="B9" s="92" t="inlineStr">
        <is>
          <t xml:space="preserve">  • 02_Severance_Inputs — per-person editor (one row per employee, ONE tranche assignment, severance weeks)</t>
        </is>
      </c>
      <c r="C9" s="123" t="n"/>
      <c r="D9" s="123" t="n"/>
      <c r="E9" s="123" t="n"/>
      <c r="F9" s="123" t="n"/>
      <c r="G9" s="123" t="n"/>
      <c r="H9" s="124" t="n"/>
    </row>
    <row r="10" ht="18" customHeight="1" s="121">
      <c r="B10" s="92" t="inlineStr">
        <is>
          <t xml:space="preserve">  • 03_Cost_Levers — adjust any Finance Baseline line item (AWS, software, etc.)</t>
        </is>
      </c>
      <c r="C10" s="123" t="n"/>
      <c r="D10" s="123" t="n"/>
      <c r="E10" s="123" t="n"/>
      <c r="F10" s="123" t="n"/>
      <c r="G10" s="123" t="n"/>
      <c r="H10" s="124" t="n"/>
    </row>
    <row r="11" ht="18" customHeight="1" s="121">
      <c r="B11" s="92" t="inlineStr">
        <is>
          <t xml:space="preserve">  • 04_Bookings_Inputs — model new sales bookings with 60-day cash conversion lag</t>
        </is>
      </c>
      <c r="C11" s="123" t="n"/>
      <c r="D11" s="123" t="n"/>
      <c r="E11" s="123" t="n"/>
      <c r="F11" s="123" t="n"/>
      <c r="G11" s="123" t="n"/>
      <c r="H11" s="124" t="n"/>
    </row>
    <row r="12" ht="18" customHeight="1" s="121">
      <c r="B12" s="92" t="inlineStr">
        <is>
          <t xml:space="preserve">  • 05_AWS_Analysis — deep dive on AWS costs, ICS savings, scenario modeling</t>
        </is>
      </c>
      <c r="C12" s="123" t="n"/>
      <c r="D12" s="123" t="n"/>
      <c r="E12" s="123" t="n"/>
      <c r="F12" s="123" t="n"/>
      <c r="G12" s="123" t="n"/>
      <c r="H12" s="124" t="n"/>
    </row>
    <row r="13" ht="18" customHeight="1" s="121">
      <c r="B13" s="92" t="inlineStr">
        <is>
          <t xml:space="preserve">  • 06_NS_Variance — NetSuite actuals vs Finance forecast (where Finance may be conservative)</t>
        </is>
      </c>
      <c r="C13" s="123" t="n"/>
      <c r="D13" s="123" t="n"/>
      <c r="E13" s="123" t="n"/>
      <c r="F13" s="123" t="n"/>
      <c r="G13" s="123" t="n"/>
      <c r="H13" s="124" t="n"/>
    </row>
    <row r="14" ht="18" customHeight="1" s="121">
      <c r="B14" s="92" t="inlineStr">
        <is>
          <t xml:space="preserve">  • 07_Weekly_Engine — calculation engine (formula-driven; do not edit unless debugging)</t>
        </is>
      </c>
      <c r="C14" s="123" t="n"/>
      <c r="D14" s="123" t="n"/>
      <c r="E14" s="123" t="n"/>
      <c r="F14" s="123" t="n"/>
      <c r="G14" s="123" t="n"/>
      <c r="H14" s="124" t="n"/>
    </row>
    <row r="15" ht="18" customHeight="1" s="121">
      <c r="B15" s="92" t="inlineStr">
        <is>
          <t xml:space="preserve">  • 08_Audit_Trail — sources, assumptions, what's modeled vs not</t>
        </is>
      </c>
      <c r="C15" s="123" t="n"/>
      <c r="D15" s="123" t="n"/>
      <c r="E15" s="123" t="n"/>
      <c r="F15" s="123" t="n"/>
      <c r="G15" s="123" t="n"/>
      <c r="H15" s="124" t="n"/>
    </row>
    <row r="16" ht="7.5" customHeight="1" s="121">
      <c r="B16" s="92" t="n"/>
      <c r="C16" s="123" t="n"/>
      <c r="D16" s="123" t="n"/>
      <c r="E16" s="123" t="n"/>
      <c r="F16" s="123" t="n"/>
      <c r="G16" s="123" t="n"/>
      <c r="H16" s="124" t="n"/>
    </row>
    <row r="17" ht="18" customHeight="1" s="121">
      <c r="B17" s="141" t="inlineStr">
        <is>
          <t>HOW TO USE:</t>
        </is>
      </c>
      <c r="C17" s="123" t="n"/>
      <c r="D17" s="123" t="n"/>
      <c r="E17" s="123" t="n"/>
      <c r="F17" s="123" t="n"/>
      <c r="G17" s="123" t="n"/>
      <c r="H17" s="124" t="n"/>
    </row>
    <row r="18" ht="18" customHeight="1" s="121">
      <c r="B18" s="92" t="inlineStr">
        <is>
          <t xml:space="preserve">  1) Edit yellow-tinted cells only — they are the inputs</t>
        </is>
      </c>
      <c r="C18" s="123" t="n"/>
      <c r="D18" s="123" t="n"/>
      <c r="E18" s="123" t="n"/>
      <c r="F18" s="123" t="n"/>
      <c r="G18" s="123" t="n"/>
      <c r="H18" s="124" t="n"/>
    </row>
    <row r="19" ht="18" customHeight="1" s="121">
      <c r="B19" s="92" t="inlineStr">
        <is>
          <t xml:space="preserve">  2) Each employee has ONE tranche assignment via dropdown (None / T1b / T2 / T3 / T4) — no double counting</t>
        </is>
      </c>
      <c r="C19" s="123" t="n"/>
      <c r="D19" s="123" t="n"/>
      <c r="E19" s="123" t="n"/>
      <c r="F19" s="123" t="n"/>
      <c r="G19" s="123" t="n"/>
      <c r="H19" s="124" t="n"/>
    </row>
    <row r="20" ht="18" customHeight="1" s="121">
      <c r="B20" s="92" t="inlineStr">
        <is>
          <t xml:space="preserve">  3) Set each person's severance Weeks (CFO range: 2-12) and mode (Spread/Lump)</t>
        </is>
      </c>
      <c r="C20" s="123" t="n"/>
      <c r="D20" s="123" t="n"/>
      <c r="E20" s="123" t="n"/>
      <c r="F20" s="123" t="n"/>
      <c r="G20" s="123" t="n"/>
      <c r="H20" s="124" t="n"/>
    </row>
    <row r="21" ht="18" customHeight="1" s="121">
      <c r="B21" s="92" t="inlineStr">
        <is>
          <t xml:space="preserve">  4) Adjust cost line items in 03_Cost_Levers as you learn more</t>
        </is>
      </c>
      <c r="C21" s="123" t="n"/>
      <c r="D21" s="123" t="n"/>
      <c r="E21" s="123" t="n"/>
      <c r="F21" s="123" t="n"/>
      <c r="G21" s="123" t="n"/>
      <c r="H21" s="124" t="n"/>
    </row>
    <row r="22" ht="18" customHeight="1" s="121">
      <c r="B22" s="92" t="inlineStr">
        <is>
          <t xml:space="preserve">  5) All cells with blue tint are computed — do not edit</t>
        </is>
      </c>
      <c r="C22" s="123" t="n"/>
      <c r="D22" s="123" t="n"/>
      <c r="E22" s="123" t="n"/>
      <c r="F22" s="123" t="n"/>
      <c r="G22" s="123" t="n"/>
      <c r="H22" s="124" t="n"/>
    </row>
    <row r="23" ht="18" customHeight="1" s="121">
      <c r="B23" s="92" t="inlineStr">
        <is>
          <t xml:space="preserve">  6) The DASHBOARD will reflect changes immediately upon recalc (F9 or auto)</t>
        </is>
      </c>
      <c r="C23" s="123" t="n"/>
      <c r="D23" s="123" t="n"/>
      <c r="E23" s="123" t="n"/>
      <c r="F23" s="123" t="n"/>
      <c r="G23" s="123" t="n"/>
      <c r="H23" s="124" t="n"/>
    </row>
    <row r="24" ht="7.5" customHeight="1" s="121">
      <c r="B24" s="92" t="n"/>
      <c r="C24" s="123" t="n"/>
      <c r="D24" s="123" t="n"/>
      <c r="E24" s="123" t="n"/>
      <c r="F24" s="123" t="n"/>
      <c r="G24" s="123" t="n"/>
      <c r="H24" s="124" t="n"/>
    </row>
    <row r="25" ht="18" customHeight="1" s="121">
      <c r="B25" s="141" t="inlineStr">
        <is>
          <t>KEY DESIGN DECISIONS:</t>
        </is>
      </c>
      <c r="C25" s="123" t="n"/>
      <c r="D25" s="123" t="n"/>
      <c r="E25" s="123" t="n"/>
      <c r="F25" s="123" t="n"/>
      <c r="G25" s="123" t="n"/>
      <c r="H25" s="124" t="n"/>
    </row>
    <row r="26" ht="18" customHeight="1" s="121">
      <c r="B26" s="92" t="inlineStr">
        <is>
          <t xml:space="preserve">  • Single source of truth = Finance Cash Flow Model (May 10, 2026) — verified W30 trough = $111,766</t>
        </is>
      </c>
      <c r="C26" s="123" t="n"/>
      <c r="D26" s="123" t="n"/>
      <c r="E26" s="123" t="n"/>
      <c r="F26" s="123" t="n"/>
      <c r="G26" s="123" t="n"/>
      <c r="H26" s="124" t="n"/>
    </row>
    <row r="27" ht="18" customHeight="1" s="121">
      <c r="B27" s="92" t="inlineStr">
        <is>
          <t xml:space="preserve">  • Per-person assignment ensures no double counting (a person is in T1b OR T4, never both)</t>
        </is>
      </c>
      <c r="C27" s="123" t="n"/>
      <c r="D27" s="123" t="n"/>
      <c r="E27" s="123" t="n"/>
      <c r="F27" s="123" t="n"/>
      <c r="G27" s="123" t="n"/>
      <c r="H27" s="124" t="n"/>
    </row>
    <row r="28" ht="18" customHeight="1" s="121">
      <c r="B28" s="92" t="inlineStr">
        <is>
          <t xml:space="preserve">  • Spread mode (default per CFO policy): person stays on payroll for W weeks → no immediate cash benefit</t>
        </is>
      </c>
      <c r="C28" s="123" t="n"/>
      <c r="D28" s="123" t="n"/>
      <c r="E28" s="123" t="n"/>
      <c r="F28" s="123" t="n"/>
      <c r="G28" s="123" t="n"/>
      <c r="H28" s="124" t="n"/>
    </row>
    <row r="29" ht="18" customHeight="1" s="121">
      <c r="B29" s="92" t="inlineStr">
        <is>
          <t xml:space="preserve">  • Lump mode: severance paid at termination, savings begin next week</t>
        </is>
      </c>
      <c r="C29" s="123" t="n"/>
      <c r="D29" s="123" t="n"/>
      <c r="E29" s="123" t="n"/>
      <c r="F29" s="123" t="n"/>
      <c r="G29" s="123" t="n"/>
      <c r="H29" s="124" t="n"/>
    </row>
    <row r="30" ht="18" customHeight="1" s="121">
      <c r="B30" s="92" t="inlineStr">
        <is>
          <t xml:space="preserve">  • Czech 5-month notice is already in Finance Baseline payroll — savings begin Oct 31 regardless of mode</t>
        </is>
      </c>
      <c r="C30" s="123" t="n"/>
      <c r="D30" s="123" t="n"/>
      <c r="E30" s="123" t="n"/>
      <c r="F30" s="123" t="n"/>
      <c r="G30" s="123" t="n"/>
      <c r="H30" s="124" t="n"/>
    </row>
    <row r="31" ht="7.5" customHeight="1" s="121">
      <c r="B31" s="92" t="n"/>
      <c r="C31" s="123" t="n"/>
      <c r="D31" s="123" t="n"/>
      <c r="E31" s="123" t="n"/>
      <c r="F31" s="123" t="n"/>
      <c r="G31" s="123" t="n"/>
      <c r="H31" s="124" t="n"/>
    </row>
    <row r="32" ht="18" customHeight="1" s="121">
      <c r="B32" s="141" t="inlineStr">
        <is>
          <t>CRITICAL CONSTRAINT (from Russell, May 18):</t>
        </is>
      </c>
      <c r="C32" s="123" t="n"/>
      <c r="D32" s="123" t="n"/>
      <c r="E32" s="123" t="n"/>
      <c r="F32" s="123" t="n"/>
      <c r="G32" s="123" t="n"/>
      <c r="H32" s="124" t="n"/>
    </row>
    <row r="33" ht="18" customHeight="1" s="121">
      <c r="B33" s="92" t="inlineStr">
        <is>
          <t xml:space="preserve">  • Cuts must happen by June 1 to help July</t>
        </is>
      </c>
      <c r="C33" s="123" t="n"/>
      <c r="D33" s="123" t="n"/>
      <c r="E33" s="123" t="n"/>
      <c r="F33" s="123" t="n"/>
      <c r="G33" s="123" t="n"/>
      <c r="H33" s="124" t="n"/>
    </row>
    <row r="34" ht="18" customHeight="1" s="121">
      <c r="B34" s="92" t="inlineStr">
        <is>
          <t xml:space="preserve">  • Severance &gt; 5 weeks means person still on payroll mid-July → ZERO July benefit</t>
        </is>
      </c>
      <c r="C34" s="123" t="n"/>
      <c r="D34" s="123" t="n"/>
      <c r="E34" s="123" t="n"/>
      <c r="F34" s="123" t="n"/>
      <c r="G34" s="123" t="n"/>
      <c r="H34" s="124" t="n"/>
    </row>
    <row r="35" ht="18" customHeight="1" s="121">
      <c r="B35" s="92" t="inlineStr">
        <is>
          <t xml:space="preserve">  • The 'Cut By June 1 Feasibility' column on the Severance Inputs sheet flags this</t>
        </is>
      </c>
      <c r="C35" s="123" t="n"/>
      <c r="D35" s="123" t="n"/>
      <c r="E35" s="123" t="n"/>
      <c r="F35" s="123" t="n"/>
      <c r="G35" s="123" t="n"/>
      <c r="H35" s="124" t="n"/>
    </row>
    <row r="36" ht="15.75" customHeight="1" s="121"/>
    <row r="37" ht="15.75" customHeight="1" s="121"/>
    <row r="38" ht="21.75" customHeight="1" s="121">
      <c r="B38" s="137" t="inlineStr">
        <is>
          <t>COLOR KEY</t>
        </is>
      </c>
      <c r="C38" s="123" t="n"/>
      <c r="D38" s="123" t="n"/>
      <c r="E38" s="123" t="n"/>
      <c r="F38" s="123" t="n"/>
      <c r="G38" s="123" t="n"/>
      <c r="H38" s="124" t="n"/>
    </row>
    <row r="39" ht="15.75" customHeight="1" s="121">
      <c r="B39" s="49" t="inlineStr">
        <is>
          <t>Indicator</t>
        </is>
      </c>
      <c r="C39" s="49" t="inlineStr">
        <is>
          <t>Color</t>
        </is>
      </c>
      <c r="D39" s="142" t="inlineStr">
        <is>
          <t>Meaning</t>
        </is>
      </c>
      <c r="E39" s="123" t="n"/>
      <c r="F39" s="123" t="n"/>
      <c r="G39" s="123" t="n"/>
      <c r="H39" s="124" t="n"/>
    </row>
    <row r="40" ht="15.75" customHeight="1" s="121">
      <c r="B40" s="51" t="inlineStr">
        <is>
          <t>Yellow tint (input)</t>
        </is>
      </c>
      <c r="C40" s="52" t="n"/>
      <c r="D40" s="51" t="inlineStr">
        <is>
          <t>Cells you can edit — controls and assumptions</t>
        </is>
      </c>
      <c r="E40" s="123" t="n"/>
      <c r="F40" s="123" t="n"/>
      <c r="G40" s="123" t="n"/>
      <c r="H40" s="124" t="n"/>
    </row>
    <row r="41" ht="15.75" customHeight="1" s="121">
      <c r="B41" s="51" t="inlineStr">
        <is>
          <t>Blue tint (calc)</t>
        </is>
      </c>
      <c r="C41" s="54" t="n"/>
      <c r="D41" s="51" t="inlineStr">
        <is>
          <t>Computed cells — formulas; do not edit</t>
        </is>
      </c>
      <c r="E41" s="123" t="n"/>
      <c r="F41" s="123" t="n"/>
      <c r="G41" s="123" t="n"/>
      <c r="H41" s="124" t="n"/>
    </row>
    <row r="42" ht="15.75" customHeight="1" s="121">
      <c r="B42" s="51" t="inlineStr">
        <is>
          <t>Navy header</t>
        </is>
      </c>
      <c r="C42" s="55" t="n"/>
      <c r="D42" s="51" t="inlineStr">
        <is>
          <t>Column headers and titles</t>
        </is>
      </c>
      <c r="E42" s="123" t="n"/>
      <c r="F42" s="123" t="n"/>
      <c r="G42" s="123" t="n"/>
      <c r="H42" s="124" t="n"/>
    </row>
    <row r="43" ht="15.75" customHeight="1" s="121">
      <c r="B43" s="51" t="inlineStr">
        <is>
          <t>Green</t>
        </is>
      </c>
      <c r="C43" s="56" t="n"/>
      <c r="D43" s="51" t="inlineStr">
        <is>
          <t>Positive / favorable outcomes</t>
        </is>
      </c>
      <c r="E43" s="123" t="n"/>
      <c r="F43" s="123" t="n"/>
      <c r="G43" s="123" t="n"/>
      <c r="H43" s="124" t="n"/>
    </row>
    <row r="44" ht="15.75" customHeight="1" s="121">
      <c r="B44" s="51" t="inlineStr">
        <is>
          <t>Amber</t>
        </is>
      </c>
      <c r="C44" s="30" t="n"/>
      <c r="D44" s="51" t="inlineStr">
        <is>
          <t>Warning / borderline</t>
        </is>
      </c>
      <c r="E44" s="123" t="n"/>
      <c r="F44" s="123" t="n"/>
      <c r="G44" s="123" t="n"/>
      <c r="H44" s="124" t="n"/>
    </row>
    <row r="45" ht="15.75" customHeight="1" s="121">
      <c r="B45" s="51" t="inlineStr">
        <is>
          <t>Red</t>
        </is>
      </c>
      <c r="C45" s="57" t="n"/>
      <c r="D45" s="51" t="inlineStr">
        <is>
          <t>Crisis / unfavorable / cannot complete by June 1</t>
        </is>
      </c>
      <c r="E45" s="123" t="n"/>
      <c r="F45" s="123" t="n"/>
      <c r="G45" s="123" t="n"/>
      <c r="H45" s="124" t="n"/>
    </row>
    <row r="46" ht="15.75" customHeight="1" s="121"/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  <row r="994" ht="15.75" customHeight="1" s="121"/>
    <row r="995" ht="15.75" customHeight="1" s="121"/>
    <row r="996" ht="15.75" customHeight="1" s="121"/>
    <row r="997" ht="15.75" customHeight="1" s="121"/>
    <row r="998" ht="15.75" customHeight="1" s="121"/>
    <row r="999" ht="15.75" customHeight="1" s="121"/>
    <row r="1000" ht="15.75" customHeight="1" s="121"/>
  </sheetData>
  <mergeCells count="42">
    <mergeCell ref="B9:H9"/>
    <mergeCell ref="B6:H6"/>
    <mergeCell ref="B24:H24"/>
    <mergeCell ref="B30:H30"/>
    <mergeCell ref="B15:H15"/>
    <mergeCell ref="B33:H33"/>
    <mergeCell ref="D40:H40"/>
    <mergeCell ref="B5:H5"/>
    <mergeCell ref="B20:H20"/>
    <mergeCell ref="D45:H45"/>
    <mergeCell ref="B32:H32"/>
    <mergeCell ref="B26:H26"/>
    <mergeCell ref="B35:H35"/>
    <mergeCell ref="B4:H4"/>
    <mergeCell ref="B16:H16"/>
    <mergeCell ref="D41:H41"/>
    <mergeCell ref="B7:H7"/>
    <mergeCell ref="B25:H25"/>
    <mergeCell ref="B31:H31"/>
    <mergeCell ref="B22:H22"/>
    <mergeCell ref="B18:H18"/>
    <mergeCell ref="B27:H27"/>
    <mergeCell ref="D43:H43"/>
    <mergeCell ref="B21:H21"/>
    <mergeCell ref="B12:H12"/>
    <mergeCell ref="B2:H2"/>
    <mergeCell ref="B11:H11"/>
    <mergeCell ref="B23:H23"/>
    <mergeCell ref="B8:H8"/>
    <mergeCell ref="B14:H14"/>
    <mergeCell ref="D39:H39"/>
    <mergeCell ref="B17:H17"/>
    <mergeCell ref="B1:H1"/>
    <mergeCell ref="B13:H13"/>
    <mergeCell ref="D42:H42"/>
    <mergeCell ref="B38:H38"/>
    <mergeCell ref="B29:H29"/>
    <mergeCell ref="B10:H10"/>
    <mergeCell ref="B19:H19"/>
    <mergeCell ref="B34:H34"/>
    <mergeCell ref="B28:H28"/>
    <mergeCell ref="D44:H4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4A6FA5"/>
    <outlinePr summaryBelow="1" summaryRight="1"/>
    <pageSetUpPr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" customWidth="1" style="121" min="1" max="1"/>
    <col hidden="1" width="5" customWidth="1" style="121" min="2" max="2"/>
    <col width="22" customWidth="1" style="121" min="3" max="3"/>
    <col width="24" customWidth="1" style="121" min="4" max="4"/>
    <col width="9.289999999999999" customWidth="1" style="121" min="5" max="5"/>
    <col width="10" customWidth="1" style="121" min="6" max="7"/>
    <col width="12" customWidth="1" style="121" min="8" max="8"/>
    <col width="14.86" customWidth="1" style="121" min="9" max="9"/>
    <col width="13.57" customWidth="1" style="121" min="10" max="10"/>
    <col width="17.57" customWidth="1" style="121" min="11" max="11"/>
    <col width="13" customWidth="1" style="121" min="12" max="12"/>
    <col width="18.29" customWidth="1" style="121" min="13" max="14"/>
    <col width="11.57" customWidth="1" style="121" min="15" max="15"/>
    <col width="14" customWidth="1" style="121" min="16" max="16"/>
    <col width="31" customWidth="1" style="121" min="17" max="17"/>
    <col width="17.86" customWidth="1" style="121" min="18" max="18"/>
    <col width="3" customWidth="1" style="121" min="19" max="19"/>
  </cols>
  <sheetData>
    <row r="1" ht="25.5" customHeight="1" s="121">
      <c r="B1" s="122" t="inlineStr">
        <is>
          <t>EMPLOYEE SEVERANCE &amp; TRANCHE ASSIGNMENT</t>
        </is>
      </c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4" t="n"/>
    </row>
    <row r="2" ht="18" customHeight="1" s="121">
      <c r="B2" s="140" t="inlineStr">
        <is>
          <t>41 employees  |  One tranche per person (no double-counting)  |  Yellow = editable</t>
        </is>
      </c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4" t="n"/>
    </row>
    <row r="3" ht="3" customHeight="1" s="121"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58" t="n"/>
      <c r="R3" s="27" t="n"/>
    </row>
    <row r="4" ht="30" customHeight="1" s="121">
      <c r="A4" s="59" t="n"/>
      <c r="B4" s="60" t="inlineStr">
        <is>
          <t>#</t>
        </is>
      </c>
      <c r="C4" s="60" t="inlineStr">
        <is>
          <t>Employee</t>
        </is>
      </c>
      <c r="D4" s="60" t="inlineStr">
        <is>
          <t>Title</t>
        </is>
      </c>
      <c r="E4" s="60" t="inlineStr">
        <is>
          <t>Loc</t>
        </is>
      </c>
      <c r="F4" s="60" t="inlineStr">
        <is>
          <t>Base $</t>
        </is>
      </c>
      <c r="G4" s="60" t="inlineStr">
        <is>
          <t>FL $</t>
        </is>
      </c>
      <c r="H4" s="60" t="inlineStr">
        <is>
          <t>Dept</t>
        </is>
      </c>
      <c r="I4" s="60" t="inlineStr">
        <is>
          <t>Tranche</t>
        </is>
      </c>
      <c r="J4" s="60" t="inlineStr">
        <is>
          <t>Sev. Weeks</t>
        </is>
      </c>
      <c r="K4" s="60" t="inlineStr">
        <is>
          <t>Mode</t>
        </is>
      </c>
      <c r="L4" s="60" t="inlineStr">
        <is>
          <t>Term Date</t>
        </is>
      </c>
      <c r="M4" s="60" t="inlineStr">
        <is>
          <t>Severance $</t>
        </is>
      </c>
      <c r="N4" s="60" t="inlineStr">
        <is>
          <t>Wkly Saving</t>
        </is>
      </c>
      <c r="O4" s="60" t="inlineStr">
        <is>
          <t>Sev End Week</t>
        </is>
      </c>
      <c r="P4" s="60" t="inlineStr">
        <is>
          <t>Savings Start Wk</t>
        </is>
      </c>
      <c r="Q4" s="97" t="inlineStr">
        <is>
          <t>Cash Impact in July?</t>
        </is>
      </c>
      <c r="R4" s="60" t="inlineStr">
        <is>
          <t>July Impact $</t>
        </is>
      </c>
      <c r="S4" s="59" t="n"/>
    </row>
    <row r="5">
      <c r="B5" s="62" t="n">
        <v>7</v>
      </c>
      <c r="C5" s="35" t="inlineStr">
        <is>
          <t>Ed Miller</t>
        </is>
      </c>
      <c r="D5" s="51" t="inlineStr">
        <is>
          <t>SVP Business Dev &amp; Strategy</t>
        </is>
      </c>
      <c r="E5" s="62" t="inlineStr">
        <is>
          <t>US</t>
        </is>
      </c>
      <c r="F5" s="63" t="n">
        <v>250000</v>
      </c>
      <c r="G5" s="63" t="n">
        <v>400000</v>
      </c>
      <c r="H5" s="62" t="inlineStr">
        <is>
          <t>Sales</t>
        </is>
      </c>
      <c r="I5" s="66" t="inlineStr">
        <is>
          <t>T1</t>
        </is>
      </c>
      <c r="J5" s="71" t="n">
        <v>12</v>
      </c>
      <c r="K5" s="66" t="inlineStr">
        <is>
          <t>Spread</t>
        </is>
      </c>
      <c r="L5" s="67" t="n">
        <v>46387</v>
      </c>
      <c r="M5" s="68">
        <f>IF(J5=0,0,F5*J5/52)</f>
        <v/>
      </c>
      <c r="N5" s="68">
        <f>IF(OR(I5="None",I5="None (protected)"),0,G5/52)</f>
        <v/>
      </c>
      <c r="O5" s="69">
        <f>IF(OR(K5="Spread",K5="spread"),ROUNDUP(J5/5,0),IF(K5="Czech-Notice",22,0))</f>
        <v/>
      </c>
      <c r="P5" s="69">
        <f>O5+1</f>
        <v/>
      </c>
      <c r="Q5" s="35">
        <f>IF(OR(I5="None",I5="None (protected)"),"N/A",IF(K5="Czech-Notice","No (Czech notice runs to Oct)",IF(J5&lt;=5,"YES — helps July",IF(J5&lt;=8,"Partial — late July only","No — paid through mid-Aug+"))))</f>
        <v/>
      </c>
      <c r="R5" s="70">
        <f>IF(OR(I5="None",I5="None (protected)"),0,IF(K5="Czech-Notice",0,IF(K5="Lump",4*N5-M5,MAX(0,(11-O5))*N5)))</f>
        <v/>
      </c>
    </row>
    <row r="6">
      <c r="B6" s="62" t="n">
        <v>9</v>
      </c>
      <c r="C6" s="35" t="inlineStr">
        <is>
          <t>Massimo Gentili</t>
        </is>
      </c>
      <c r="D6" s="51" t="inlineStr">
        <is>
          <t>Head of EMEA</t>
        </is>
      </c>
      <c r="E6" s="62" t="inlineStr">
        <is>
          <t>EU</t>
        </is>
      </c>
      <c r="F6" s="63" t="n">
        <v>135931</v>
      </c>
      <c r="G6" s="63" t="n">
        <v>409431</v>
      </c>
      <c r="H6" s="62" t="inlineStr">
        <is>
          <t>Sales</t>
        </is>
      </c>
      <c r="I6" s="66" t="inlineStr">
        <is>
          <t>T1</t>
        </is>
      </c>
      <c r="J6" s="71" t="n">
        <v>12</v>
      </c>
      <c r="K6" s="66" t="inlineStr">
        <is>
          <t>Spread</t>
        </is>
      </c>
      <c r="L6" s="67" t="n">
        <v>46387</v>
      </c>
      <c r="M6" s="68">
        <f>IF(J6=0,0,F6*J6/52)</f>
        <v/>
      </c>
      <c r="N6" s="68">
        <f>IF(OR(I6="None",I6="None (protected)"),0,G6/52)</f>
        <v/>
      </c>
      <c r="O6" s="69">
        <f>IF(OR(K6="Spread",K6="spread"),ROUNDUP(J6/5,0),IF(K6="Czech-Notice",22,0))</f>
        <v/>
      </c>
      <c r="P6" s="69">
        <f>O6+1</f>
        <v/>
      </c>
      <c r="Q6" s="35">
        <f>IF(OR(I6="None",I6="None (protected)"),"N/A",IF(K6="Czech-Notice","No (Czech notice runs to Oct)",IF(J6&lt;=5,"YES — helps July",IF(J6&lt;=8,"Partial — late July only","No — paid through mid-Aug+"))))</f>
        <v/>
      </c>
      <c r="R6" s="70">
        <f>IF(OR(I6="None",I6="None (protected)"),0,IF(K6="Czech-Notice",0,IF(K6="Lump",4*N6-M6,MAX(0,(11-O6))*N6)))</f>
        <v/>
      </c>
    </row>
    <row r="7">
      <c r="B7" s="62" t="n">
        <v>13</v>
      </c>
      <c r="C7" s="35" t="inlineStr">
        <is>
          <t>Roxana Nabavian</t>
        </is>
      </c>
      <c r="D7" s="51" t="inlineStr">
        <is>
          <t>Marketing</t>
        </is>
      </c>
      <c r="E7" s="62" t="inlineStr">
        <is>
          <t>US</t>
        </is>
      </c>
      <c r="F7" s="63" t="n">
        <v>79920</v>
      </c>
      <c r="G7" s="63" t="n">
        <v>99900</v>
      </c>
      <c r="H7" s="62" t="inlineStr">
        <is>
          <t>Marketing</t>
        </is>
      </c>
      <c r="I7" s="66" t="inlineStr">
        <is>
          <t>T1</t>
        </is>
      </c>
      <c r="J7" s="71" t="n">
        <v>6</v>
      </c>
      <c r="K7" s="66" t="inlineStr">
        <is>
          <t>Spread</t>
        </is>
      </c>
      <c r="L7" s="67" t="n">
        <v>46173</v>
      </c>
      <c r="M7" s="68">
        <f>IF(J7=0,0,F7*J7/52)</f>
        <v/>
      </c>
      <c r="N7" s="68">
        <f>IF(OR(I7="None",I7="None (protected)"),0,G7/52)</f>
        <v/>
      </c>
      <c r="O7" s="69">
        <f>IF(OR(K7="Spread",K7="spread"),ROUNDUP(J7/5,0),IF(K7="Czech-Notice",22,0))</f>
        <v/>
      </c>
      <c r="P7" s="69">
        <f>O7+1</f>
        <v/>
      </c>
      <c r="Q7" s="35">
        <f>IF(OR(I7="None",I7="None (protected)"),"N/A",IF(K7="Czech-Notice","No (Czech notice runs to Oct)",IF(J7&lt;=5,"YES — helps July",IF(J7&lt;=8,"Partial — late July only","No — paid through mid-Aug+"))))</f>
        <v/>
      </c>
      <c r="R7" s="70">
        <f>IF(OR(I7="None",I7="None (protected)"),0,IF(K7="Czech-Notice",0,IF(K7="Lump",4*N7-M7,MAX(0,(11-O7))*N7)))</f>
        <v/>
      </c>
    </row>
    <row r="8">
      <c r="B8" s="72" t="n">
        <v>10</v>
      </c>
      <c r="C8" s="37" t="inlineStr">
        <is>
          <t>Clayton Coyne</t>
        </is>
      </c>
      <c r="D8" s="76" t="inlineStr">
        <is>
          <t>Dir, Partnerships &amp; Channel</t>
        </is>
      </c>
      <c r="E8" s="72" t="inlineStr">
        <is>
          <t>US</t>
        </is>
      </c>
      <c r="F8" s="74" t="n">
        <v>145000</v>
      </c>
      <c r="G8" s="74" t="n">
        <v>221625</v>
      </c>
      <c r="H8" s="72" t="inlineStr">
        <is>
          <t>Sales</t>
        </is>
      </c>
      <c r="I8" s="66" t="inlineStr">
        <is>
          <t>T1</t>
        </is>
      </c>
      <c r="J8" s="71" t="n">
        <v>6</v>
      </c>
      <c r="K8" s="66" t="inlineStr">
        <is>
          <t>Spread</t>
        </is>
      </c>
      <c r="L8" s="67" t="n">
        <v>46173</v>
      </c>
      <c r="M8" s="68">
        <f>IF(J8=0,0,F8*J8/52)</f>
        <v/>
      </c>
      <c r="N8" s="68">
        <f>IF(OR(I8="None",I8="None (protected)"),0,G8/52)</f>
        <v/>
      </c>
      <c r="O8" s="69">
        <f>IF(OR(K8="Spread",K8="spread"),ROUNDUP(J8/5,0),IF(K8="Czech-Notice",22,0))</f>
        <v/>
      </c>
      <c r="P8" s="69">
        <f>O8+1</f>
        <v/>
      </c>
      <c r="Q8" s="35">
        <f>IF(OR(I8="None",I8="None (protected)"),"N/A",IF(K8="Czech-Notice","No (Czech notice runs to Oct)",IF(J8&lt;=5,"YES — helps July",IF(J8&lt;=8,"Partial — late July only","No — paid through mid-Aug+"))))</f>
        <v/>
      </c>
      <c r="R8" s="70">
        <f>IF(OR(I8="None",I8="None (protected)"),0,IF(K8="Czech-Notice",0,IF(K8="Lump",4*N8-M8,MAX(0,(11-O8))*N8)))</f>
        <v/>
      </c>
    </row>
    <row r="9">
      <c r="B9" s="62" t="n">
        <v>27</v>
      </c>
      <c r="C9" s="35" t="inlineStr">
        <is>
          <t>Michal Marek</t>
        </is>
      </c>
      <c r="D9" s="51" t="inlineStr">
        <is>
          <t>Staff SE</t>
        </is>
      </c>
      <c r="E9" s="62" t="inlineStr">
        <is>
          <t>CZ</t>
        </is>
      </c>
      <c r="F9" s="63" t="n">
        <v>79384</v>
      </c>
      <c r="G9" s="63" t="n">
        <v>130983</v>
      </c>
      <c r="H9" s="62" t="inlineStr">
        <is>
          <t>Product</t>
        </is>
      </c>
      <c r="I9" s="66" t="inlineStr">
        <is>
          <t>T2</t>
        </is>
      </c>
      <c r="J9" s="71" t="n">
        <v>4</v>
      </c>
      <c r="K9" s="66" t="inlineStr">
        <is>
          <t>Czech-Notice</t>
        </is>
      </c>
      <c r="L9" s="67" t="n">
        <v>46173</v>
      </c>
      <c r="M9" s="68">
        <f>IF(J9=0,0,F9*J9/52)</f>
        <v/>
      </c>
      <c r="N9" s="68">
        <f>IF(OR(I9="None",I9="None (protected)"),0,G9/52)</f>
        <v/>
      </c>
      <c r="O9" s="69">
        <f>IF(OR(K9="Spread",K9="spread"),ROUNDUP(J9/5,0),IF(K9="Czech-Notice",22,0))</f>
        <v/>
      </c>
      <c r="P9" s="69">
        <f>O9+1</f>
        <v/>
      </c>
      <c r="Q9" s="35">
        <f>IF(OR(I9="None",I9="None (protected)"),"N/A",IF(K9="Czech-Notice","No (Czech notice runs to Oct)",IF(J9&lt;=5,"YES — helps July",IF(J9&lt;=8,"Partial — late July only","No — paid through mid-Aug+"))))</f>
        <v/>
      </c>
      <c r="R9" s="70">
        <f>IF(OR(I9="None",I9="None (protected)"),0,IF(K9="Czech-Notice",0,IF(K9="Lump",4*N9-M9,MAX(0,(11-O9))*N9)))</f>
        <v/>
      </c>
    </row>
    <row r="10">
      <c r="B10" s="72" t="n">
        <v>28</v>
      </c>
      <c r="C10" s="37" t="inlineStr">
        <is>
          <t>Bronek Gabrhelik</t>
        </is>
      </c>
      <c r="D10" s="76" t="inlineStr">
        <is>
          <t>Staff SE</t>
        </is>
      </c>
      <c r="E10" s="72" t="inlineStr">
        <is>
          <t>CZ</t>
        </is>
      </c>
      <c r="F10" s="74" t="n">
        <v>78164</v>
      </c>
      <c r="G10" s="74" t="n">
        <v>128971</v>
      </c>
      <c r="H10" s="72" t="inlineStr">
        <is>
          <t>Product</t>
        </is>
      </c>
      <c r="I10" s="66" t="inlineStr">
        <is>
          <t>T2</t>
        </is>
      </c>
      <c r="J10" s="71" t="n">
        <v>4</v>
      </c>
      <c r="K10" s="66" t="inlineStr">
        <is>
          <t>Czech-Notice</t>
        </is>
      </c>
      <c r="L10" s="67" t="n">
        <v>46173</v>
      </c>
      <c r="M10" s="68">
        <f>IF(J10=0,0,F10*J10/52)</f>
        <v/>
      </c>
      <c r="N10" s="68">
        <f>IF(OR(I10="None",I10="None (protected)"),0,G10/52)</f>
        <v/>
      </c>
      <c r="O10" s="69">
        <f>IF(OR(K10="Spread",K10="spread"),ROUNDUP(J10/5,0),IF(K10="Czech-Notice",22,0))</f>
        <v/>
      </c>
      <c r="P10" s="69">
        <f>O10+1</f>
        <v/>
      </c>
      <c r="Q10" s="35">
        <f>IF(OR(I10="None",I10="None (protected)"),"N/A",IF(K10="Czech-Notice","No (Czech notice runs to Oct)",IF(J10&lt;=5,"YES — helps July",IF(J10&lt;=8,"Partial — late July only","No — paid through mid-Aug+"))))</f>
        <v/>
      </c>
      <c r="R10" s="70">
        <f>IF(OR(I10="None",I10="None (protected)"),0,IF(K10="Czech-Notice",0,IF(K10="Lump",4*N10-M10,MAX(0,(11-O10))*N10)))</f>
        <v/>
      </c>
    </row>
    <row r="11">
      <c r="B11" s="72" t="n">
        <v>30</v>
      </c>
      <c r="C11" s="37" t="inlineStr">
        <is>
          <t>Pavel Mican</t>
        </is>
      </c>
      <c r="D11" s="76" t="inlineStr">
        <is>
          <t>Staff SE</t>
        </is>
      </c>
      <c r="E11" s="72" t="inlineStr">
        <is>
          <t>CZ</t>
        </is>
      </c>
      <c r="F11" s="74" t="n">
        <v>61598</v>
      </c>
      <c r="G11" s="74" t="n">
        <v>101638</v>
      </c>
      <c r="H11" s="72" t="inlineStr">
        <is>
          <t>Product</t>
        </is>
      </c>
      <c r="I11" s="66" t="inlineStr">
        <is>
          <t>T2</t>
        </is>
      </c>
      <c r="J11" s="71" t="n">
        <v>4</v>
      </c>
      <c r="K11" s="66" t="inlineStr">
        <is>
          <t>Czech-Notice</t>
        </is>
      </c>
      <c r="L11" s="67" t="n">
        <v>46173</v>
      </c>
      <c r="M11" s="68">
        <f>IF(J11=0,0,F11*J11/52)</f>
        <v/>
      </c>
      <c r="N11" s="68">
        <f>IF(OR(I11="None",I11="None (protected)"),0,G11/52)</f>
        <v/>
      </c>
      <c r="O11" s="69">
        <f>IF(OR(K11="Spread",K11="spread"),ROUNDUP(J11/5,0),IF(K11="Czech-Notice",22,0))</f>
        <v/>
      </c>
      <c r="P11" s="69">
        <f>O11+1</f>
        <v/>
      </c>
      <c r="Q11" s="35">
        <f>IF(OR(I11="None",I11="None (protected)"),"N/A",IF(K11="Czech-Notice","No (Czech notice runs to Oct)",IF(J11&lt;=5,"YES — helps July",IF(J11&lt;=8,"Partial — late July only","No — paid through mid-Aug+"))))</f>
        <v/>
      </c>
      <c r="R11" s="70">
        <f>IF(OR(I11="None",I11="None (protected)"),0,IF(K11="Czech-Notice",0,IF(K11="Lump",4*N11-M11,MAX(0,(11-O11))*N11)))</f>
        <v/>
      </c>
    </row>
    <row r="12">
      <c r="B12" s="72" t="n">
        <v>32</v>
      </c>
      <c r="C12" s="37" t="inlineStr">
        <is>
          <t>Jakub Samek</t>
        </is>
      </c>
      <c r="D12" s="76" t="inlineStr">
        <is>
          <t>Sr SE</t>
        </is>
      </c>
      <c r="E12" s="72" t="inlineStr">
        <is>
          <t>CZ</t>
        </is>
      </c>
      <c r="F12" s="74" t="n">
        <v>50202</v>
      </c>
      <c r="G12" s="74" t="n">
        <v>75303</v>
      </c>
      <c r="H12" s="72" t="inlineStr">
        <is>
          <t>Product</t>
        </is>
      </c>
      <c r="I12" s="66" t="inlineStr">
        <is>
          <t>T2</t>
        </is>
      </c>
      <c r="J12" s="71" t="n">
        <v>4</v>
      </c>
      <c r="K12" s="66" t="inlineStr">
        <is>
          <t>Czech-Notice</t>
        </is>
      </c>
      <c r="L12" s="67" t="n">
        <v>46173</v>
      </c>
      <c r="M12" s="68">
        <f>IF(J12=0,0,F12*J12/52)</f>
        <v/>
      </c>
      <c r="N12" s="68">
        <f>IF(OR(I12="None",I12="None (protected)"),0,G12/52)</f>
        <v/>
      </c>
      <c r="O12" s="69">
        <f>IF(OR(K12="Spread",K12="spread"),ROUNDUP(J12/5,0),IF(K12="Czech-Notice",22,0))</f>
        <v/>
      </c>
      <c r="P12" s="69">
        <f>O12+1</f>
        <v/>
      </c>
      <c r="Q12" s="35">
        <f>IF(OR(I12="None",I12="None (protected)"),"N/A",IF(K12="Czech-Notice","No (Czech notice runs to Oct)",IF(J12&lt;=5,"YES — helps July",IF(J12&lt;=8,"Partial — late July only","No — paid through mid-Aug+"))))</f>
        <v/>
      </c>
      <c r="R12" s="70">
        <f>IF(OR(I12="None",I12="None (protected)"),0,IF(K12="Czech-Notice",0,IF(K12="Lump",4*N12-M12,MAX(0,(11-O12))*N12)))</f>
        <v/>
      </c>
    </row>
    <row r="13">
      <c r="B13" s="72" t="n">
        <v>36</v>
      </c>
      <c r="C13" s="37" t="inlineStr">
        <is>
          <t>Roksolana Bondarenko</t>
        </is>
      </c>
      <c r="D13" s="76" t="inlineStr">
        <is>
          <t>QA Engineer</t>
        </is>
      </c>
      <c r="E13" s="72" t="inlineStr">
        <is>
          <t>CZ</t>
        </is>
      </c>
      <c r="F13" s="74" t="n">
        <v>36522</v>
      </c>
      <c r="G13" s="74" t="n">
        <v>54783</v>
      </c>
      <c r="H13" s="72" t="inlineStr">
        <is>
          <t>Product</t>
        </is>
      </c>
      <c r="I13" s="66" t="inlineStr">
        <is>
          <t>T2</t>
        </is>
      </c>
      <c r="J13" s="71" t="n">
        <v>4</v>
      </c>
      <c r="K13" s="66" t="inlineStr">
        <is>
          <t>Czech-Notice</t>
        </is>
      </c>
      <c r="L13" s="67" t="n">
        <v>46173</v>
      </c>
      <c r="M13" s="68">
        <f>IF(J13=0,0,F13*J13/52)</f>
        <v/>
      </c>
      <c r="N13" s="68">
        <f>IF(OR(I13="None",I13="None (protected)"),0,G13/52)</f>
        <v/>
      </c>
      <c r="O13" s="69">
        <f>IF(OR(K13="Spread",K13="spread"),ROUNDUP(J13/5,0),IF(K13="Czech-Notice",22,0))</f>
        <v/>
      </c>
      <c r="P13" s="69">
        <f>O13+1</f>
        <v/>
      </c>
      <c r="Q13" s="35">
        <f>IF(OR(I13="None",I13="None (protected)"),"N/A",IF(K13="Czech-Notice","No (Czech notice runs to Oct)",IF(J13&lt;=5,"YES — helps July",IF(J13&lt;=8,"Partial — late July only","No — paid through mid-Aug+"))))</f>
        <v/>
      </c>
      <c r="R13" s="70">
        <f>IF(OR(I13="None",I13="None (protected)"),0,IF(K13="Czech-Notice",0,IF(K13="Lump",4*N13-M13,MAX(0,(11-O13))*N13)))</f>
        <v/>
      </c>
    </row>
    <row r="14">
      <c r="B14" s="62" t="n">
        <v>5</v>
      </c>
      <c r="C14" s="35" t="inlineStr">
        <is>
          <t>Andy Prescott</t>
        </is>
      </c>
      <c r="D14" s="51" t="inlineStr">
        <is>
          <t>Director Rev Accounting</t>
        </is>
      </c>
      <c r="E14" s="62" t="inlineStr">
        <is>
          <t>US</t>
        </is>
      </c>
      <c r="F14" s="63" t="n">
        <v>180000</v>
      </c>
      <c r="G14" s="63" t="n">
        <v>224850</v>
      </c>
      <c r="H14" s="62" t="inlineStr">
        <is>
          <t>G&amp;A</t>
        </is>
      </c>
      <c r="I14" s="66" t="inlineStr">
        <is>
          <t>T3</t>
        </is>
      </c>
      <c r="J14" s="79" t="n">
        <v>6</v>
      </c>
      <c r="K14" s="66" t="inlineStr">
        <is>
          <t>Spread</t>
        </is>
      </c>
      <c r="L14" s="67" t="n">
        <v>46295</v>
      </c>
      <c r="M14" s="68">
        <f>IF(J14=0,0,F14*J14/52)</f>
        <v/>
      </c>
      <c r="N14" s="68">
        <f>IF(OR(I14="None",I14="None (protected)"),0,G14/52)</f>
        <v/>
      </c>
      <c r="O14" s="69">
        <f>IF(OR(K14="Spread",K14="spread"),ROUNDUP(J14/5,0),IF(K14="Czech-Notice",22,0))</f>
        <v/>
      </c>
      <c r="P14" s="69">
        <f>O14+1</f>
        <v/>
      </c>
      <c r="Q14" s="35">
        <f>IF(OR(I14="None",I14="None (protected)"),"N/A",IF(K14="Czech-Notice","No (Czech notice runs to Oct)",IF(J14&lt;=5,"YES — helps July",IF(J14&lt;=8,"Partial — late July only","No — paid through mid-Aug+"))))</f>
        <v/>
      </c>
      <c r="R14" s="70">
        <f>IF(OR(I14="None",I14="None (protected)"),0,IF(K14="Czech-Notice",0,IF(K14="Lump",4*N14-M14,MAX(0,(11-O14))*N14)))</f>
        <v/>
      </c>
    </row>
    <row r="15">
      <c r="B15" s="72" t="n">
        <v>6</v>
      </c>
      <c r="C15" s="37" t="inlineStr">
        <is>
          <t>Kyle Delaney</t>
        </is>
      </c>
      <c r="D15" s="76" t="inlineStr">
        <is>
          <t>Revenue Manager</t>
        </is>
      </c>
      <c r="E15" s="72" t="inlineStr">
        <is>
          <t>US</t>
        </is>
      </c>
      <c r="F15" s="74" t="n">
        <v>120000</v>
      </c>
      <c r="G15" s="74" t="n">
        <v>146375</v>
      </c>
      <c r="H15" s="72" t="inlineStr">
        <is>
          <t>G&amp;A</t>
        </is>
      </c>
      <c r="I15" s="66" t="inlineStr">
        <is>
          <t>T3</t>
        </is>
      </c>
      <c r="J15" s="79" t="n">
        <v>6</v>
      </c>
      <c r="K15" s="66" t="inlineStr">
        <is>
          <t>Spread</t>
        </is>
      </c>
      <c r="L15" s="67" t="n">
        <v>46295</v>
      </c>
      <c r="M15" s="68">
        <f>IF(J15=0,0,F15*J15/52)</f>
        <v/>
      </c>
      <c r="N15" s="68">
        <f>IF(OR(I15="None",I15="None (protected)"),0,G15/52)</f>
        <v/>
      </c>
      <c r="O15" s="69">
        <f>IF(OR(K15="Spread",K15="spread"),ROUNDUP(J15/5,0),IF(K15="Czech-Notice",22,0))</f>
        <v/>
      </c>
      <c r="P15" s="69">
        <f>O15+1</f>
        <v/>
      </c>
      <c r="Q15" s="35">
        <f>IF(OR(I15="None",I15="None (protected)"),"N/A",IF(K15="Czech-Notice","No (Czech notice runs to Oct)",IF(J15&lt;=5,"YES — helps July",IF(J15&lt;=8,"Partial — late July only","No — paid through mid-Aug+"))))</f>
        <v/>
      </c>
      <c r="R15" s="70">
        <f>IF(OR(I15="None",I15="None (protected)"),0,IF(K15="Czech-Notice",0,IF(K15="Lump",4*N15-M15,MAX(0,(11-O15))*N15)))</f>
        <v/>
      </c>
    </row>
    <row r="16">
      <c r="B16" s="72" t="n">
        <v>22</v>
      </c>
      <c r="C16" s="37" t="inlineStr">
        <is>
          <t>Monica González</t>
        </is>
      </c>
      <c r="D16" s="76" t="inlineStr">
        <is>
          <t>Impl Mgr &amp; SE</t>
        </is>
      </c>
      <c r="E16" s="72" t="inlineStr">
        <is>
          <t>MX</t>
        </is>
      </c>
      <c r="F16" s="74" t="n">
        <v>76274</v>
      </c>
      <c r="G16" s="74" t="n">
        <v>91274</v>
      </c>
      <c r="H16" s="72" t="inlineStr">
        <is>
          <t>CS</t>
        </is>
      </c>
      <c r="I16" s="66" t="inlineStr">
        <is>
          <t>T3</t>
        </is>
      </c>
      <c r="J16" s="79" t="n">
        <v>6</v>
      </c>
      <c r="K16" s="66" t="inlineStr">
        <is>
          <t>Spread</t>
        </is>
      </c>
      <c r="L16" s="67" t="n">
        <v>46295</v>
      </c>
      <c r="M16" s="68">
        <f>IF(J16=0,0,F16*J16/52)</f>
        <v/>
      </c>
      <c r="N16" s="68">
        <f>IF(OR(I16="None",I16="None (protected)"),0,G16/52)</f>
        <v/>
      </c>
      <c r="O16" s="69">
        <f>IF(OR(K16="Spread",K16="spread"),ROUNDUP(J16/5,0),IF(K16="Czech-Notice",22,0))</f>
        <v/>
      </c>
      <c r="P16" s="69">
        <f>O16+1</f>
        <v/>
      </c>
      <c r="Q16" s="35">
        <f>IF(OR(I16="None",I16="None (protected)"),"N/A",IF(K16="Czech-Notice","No (Czech notice runs to Oct)",IF(J16&lt;=5,"YES — helps July",IF(J16&lt;=8,"Partial — late July only","No — paid through mid-Aug+"))))</f>
        <v/>
      </c>
      <c r="R16" s="70">
        <f>IF(OR(I16="None",I16="None (protected)"),0,IF(K16="Czech-Notice",0,IF(K16="Lump",4*N16-M16,MAX(0,(11-O16))*N16)))</f>
        <v/>
      </c>
    </row>
    <row r="17">
      <c r="B17" s="62" t="n">
        <v>41</v>
      </c>
      <c r="C17" s="35" t="inlineStr">
        <is>
          <t>Ed Kwong</t>
        </is>
      </c>
      <c r="D17" s="51" t="inlineStr">
        <is>
          <t>Controller</t>
        </is>
      </c>
      <c r="E17" s="62" t="inlineStr">
        <is>
          <t>US</t>
        </is>
      </c>
      <c r="F17" s="63" t="n">
        <v>170000</v>
      </c>
      <c r="G17" s="63" t="n">
        <v>222163</v>
      </c>
      <c r="H17" s="62" t="inlineStr">
        <is>
          <t>CoSo</t>
        </is>
      </c>
      <c r="I17" s="66" t="inlineStr">
        <is>
          <t>T3</t>
        </is>
      </c>
      <c r="J17" s="79" t="n">
        <v>6</v>
      </c>
      <c r="K17" s="66" t="inlineStr">
        <is>
          <t>Spread</t>
        </is>
      </c>
      <c r="L17" s="67" t="n">
        <v>46295</v>
      </c>
      <c r="M17" s="68">
        <f>IF(J17=0,0,F17*J17/52)</f>
        <v/>
      </c>
      <c r="N17" s="68">
        <f>IF(OR(I17="None",I17="None (protected)"),0,G17/52)</f>
        <v/>
      </c>
      <c r="O17" s="69">
        <f>IF(OR(K17="Spread",K17="spread"),ROUNDUP(J17/5,0),IF(K17="Czech-Notice",22,0))</f>
        <v/>
      </c>
      <c r="P17" s="69">
        <f>O17+1</f>
        <v/>
      </c>
      <c r="Q17" s="35">
        <f>IF(OR(I17="None",I17="None (protected)"),"N/A",IF(K17="Czech-Notice","No (Czech notice runs to Oct)",IF(J17&lt;=5,"YES — helps July",IF(J17&lt;=8,"Partial — late July only","No — paid through mid-Aug+"))))</f>
        <v/>
      </c>
      <c r="R17" s="70">
        <f>IF(OR(I17="None",I17="None (protected)"),0,IF(K17="Czech-Notice",0,IF(K17="Lump",4*N17-M17,MAX(0,(11-O17))*N17)))</f>
        <v/>
      </c>
    </row>
    <row r="18">
      <c r="B18" s="62" t="n">
        <v>11</v>
      </c>
      <c r="C18" s="35" t="inlineStr">
        <is>
          <t>Kendall Woodard</t>
        </is>
      </c>
      <c r="D18" s="51" t="inlineStr">
        <is>
          <t>Senior Digital Designer</t>
        </is>
      </c>
      <c r="E18" s="62" t="inlineStr">
        <is>
          <t>US</t>
        </is>
      </c>
      <c r="F18" s="63" t="n">
        <v>100000</v>
      </c>
      <c r="G18" s="63" t="n">
        <v>119500</v>
      </c>
      <c r="H18" s="62" t="inlineStr">
        <is>
          <t>Marketing</t>
        </is>
      </c>
      <c r="I18" s="66" t="inlineStr">
        <is>
          <t>T3</t>
        </is>
      </c>
      <c r="J18" s="79" t="n">
        <v>6</v>
      </c>
      <c r="K18" s="66" t="inlineStr">
        <is>
          <t>Spread</t>
        </is>
      </c>
      <c r="L18" s="67" t="n">
        <v>46387</v>
      </c>
      <c r="M18" s="68">
        <f>IF(J18=0,0,F18*J18/52)</f>
        <v/>
      </c>
      <c r="N18" s="68">
        <f>IF(OR(I18="None",I18="None (protected)"),0,G18/52)</f>
        <v/>
      </c>
      <c r="O18" s="69">
        <f>IF(OR(K18="Spread",K18="spread"),ROUNDUP(J18/5,0),IF(K18="Czech-Notice",22,0))</f>
        <v/>
      </c>
      <c r="P18" s="69">
        <f>O18+1</f>
        <v/>
      </c>
      <c r="Q18" s="35">
        <f>IF(OR(I18="None",I18="None (protected)"),"N/A",IF(K18="Czech-Notice","No (Czech notice runs to Oct)",IF(J18&lt;=5,"YES — helps July",IF(J18&lt;=8,"Partial — late July only","No — paid through mid-Aug+"))))</f>
        <v/>
      </c>
      <c r="R18" s="70">
        <f>IF(OR(I18="None",I18="None (protected)"),0,IF(K18="Czech-Notice",0,IF(K18="Lump",4*N18-M18,MAX(0,(11-O18))*N18)))</f>
        <v/>
      </c>
    </row>
    <row r="19">
      <c r="B19" s="72" t="n">
        <v>12</v>
      </c>
      <c r="C19" s="37" t="inlineStr">
        <is>
          <t>Dalton Mullins</t>
        </is>
      </c>
      <c r="D19" s="76" t="inlineStr">
        <is>
          <t>SDR</t>
        </is>
      </c>
      <c r="E19" s="72" t="inlineStr">
        <is>
          <t>US</t>
        </is>
      </c>
      <c r="F19" s="74" t="n">
        <v>50000</v>
      </c>
      <c r="G19" s="74" t="n">
        <v>93000</v>
      </c>
      <c r="H19" s="72" t="inlineStr">
        <is>
          <t>Marketing</t>
        </is>
      </c>
      <c r="I19" s="77" t="inlineStr">
        <is>
          <t>None</t>
        </is>
      </c>
      <c r="J19" s="79" t="n">
        <v>6</v>
      </c>
      <c r="K19" s="66" t="inlineStr">
        <is>
          <t>Spread</t>
        </is>
      </c>
      <c r="L19" s="67" t="n">
        <v>46387</v>
      </c>
      <c r="M19" s="68">
        <f>IF(J19=0,0,F19*J19/52)</f>
        <v/>
      </c>
      <c r="N19" s="68">
        <f>IF(OR(I19="None",I19="None (protected)"),0,G19/52)</f>
        <v/>
      </c>
      <c r="O19" s="69">
        <f>IF(OR(K19="Spread",K19="spread"),ROUNDUP(J19/5,0),IF(K19="Czech-Notice",22,0))</f>
        <v/>
      </c>
      <c r="P19" s="69">
        <f>O19+1</f>
        <v/>
      </c>
      <c r="Q19" s="35">
        <f>IF(OR(I19="None",I19="None (protected)"),"N/A",IF(K19="Czech-Notice","No (Czech notice runs to Oct)",IF(J19&lt;=5,"YES — helps July",IF(J19&lt;=8,"Partial — late July only","No — paid through mid-Aug+"))))</f>
        <v/>
      </c>
      <c r="R19" s="70">
        <f>IF(OR(I19="None",I19="None (protected)"),0,IF(K19="Czech-Notice",0,IF(K19="Lump",4*N19-M19,MAX(0,(11-O19))*N19)))</f>
        <v/>
      </c>
    </row>
    <row r="20" ht="15.75" customHeight="1" s="121">
      <c r="B20" s="72" t="n">
        <v>40</v>
      </c>
      <c r="C20" s="37" t="inlineStr">
        <is>
          <t>AJ Gorton</t>
        </is>
      </c>
      <c r="D20" s="76" t="inlineStr">
        <is>
          <t>Commercial Sales Manager</t>
        </is>
      </c>
      <c r="E20" s="72" t="inlineStr">
        <is>
          <t>US</t>
        </is>
      </c>
      <c r="F20" s="74" t="n">
        <v>120000</v>
      </c>
      <c r="G20" s="74" t="n">
        <v>302250</v>
      </c>
      <c r="H20" s="72" t="inlineStr">
        <is>
          <t>CoSo</t>
        </is>
      </c>
      <c r="I20" s="77" t="inlineStr">
        <is>
          <t>None</t>
        </is>
      </c>
      <c r="J20" s="79" t="n">
        <v>6</v>
      </c>
      <c r="K20" s="66" t="inlineStr">
        <is>
          <t>Spread</t>
        </is>
      </c>
      <c r="L20" s="78" t="inlineStr">
        <is>
          <t>—</t>
        </is>
      </c>
      <c r="M20" s="68">
        <f>IF(J20=0,0,F20*J20/52)</f>
        <v/>
      </c>
      <c r="N20" s="68">
        <f>IF(OR(I20="None",I20="None (protected)"),0,G20/52)</f>
        <v/>
      </c>
      <c r="O20" s="69">
        <f>IF(OR(K20="Spread",K20="spread"),ROUNDUP(J20/5,0),IF(K20="Czech-Notice",22,0))</f>
        <v/>
      </c>
      <c r="P20" s="69">
        <f>O20+1</f>
        <v/>
      </c>
      <c r="Q20" s="35">
        <f>IF(OR(I20="None",I20="None (protected)"),"N/A",IF(K20="Czech-Notice","No (Czech notice runs to Oct)",IF(J20&lt;=5,"YES — helps July",IF(J20&lt;=8,"Partial — late July only","No — paid through mid-Aug+"))))</f>
        <v/>
      </c>
      <c r="R20" s="70">
        <f>IF(OR(I20="None",I20="None (protected)"),0,IF(K20="Czech-Notice",0,IF(K20="Lump",4*N20-M20,MAX(0,(11-O20))*N20)))</f>
        <v/>
      </c>
    </row>
    <row r="21">
      <c r="B21" s="72" t="n">
        <v>8</v>
      </c>
      <c r="C21" s="37" t="inlineStr">
        <is>
          <t>Daniel Hansen</t>
        </is>
      </c>
      <c r="D21" s="76" t="inlineStr">
        <is>
          <t>Director of Sales</t>
        </is>
      </c>
      <c r="E21" s="72" t="inlineStr">
        <is>
          <t>US</t>
        </is>
      </c>
      <c r="F21" s="74" t="n">
        <v>160000</v>
      </c>
      <c r="G21" s="74" t="n">
        <v>380750</v>
      </c>
      <c r="H21" s="72" t="inlineStr">
        <is>
          <t>Sales</t>
        </is>
      </c>
      <c r="I21" s="77" t="inlineStr">
        <is>
          <t>None</t>
        </is>
      </c>
      <c r="J21" s="79" t="n">
        <v>6</v>
      </c>
      <c r="K21" s="66" t="inlineStr">
        <is>
          <t>Spread</t>
        </is>
      </c>
      <c r="L21" s="67" t="n">
        <v>46173</v>
      </c>
      <c r="M21" s="68">
        <f>IF(J21=0,0,F21*J21/52)</f>
        <v/>
      </c>
      <c r="N21" s="68">
        <f>IF(OR(I21="None",I21="None (protected)"),0,G21/52)</f>
        <v/>
      </c>
      <c r="O21" s="69">
        <f>IF(OR(K21="Spread",K21="spread"),ROUNDUP(J21/5,0),IF(K21="Czech-Notice",22,0))</f>
        <v/>
      </c>
      <c r="P21" s="69">
        <f>O21+1</f>
        <v/>
      </c>
      <c r="Q21" s="35">
        <f>IF(OR(I21="None",I21="None (protected)"),"N/A",IF(K21="Czech-Notice","No (Czech notice runs to Oct)",IF(J21&lt;=5,"YES — helps July",IF(J21&lt;=8,"Partial — late July only","No — paid through mid-Aug+"))))</f>
        <v/>
      </c>
      <c r="R21" s="70">
        <f>IF(OR(I21="None",I21="None (protected)"),0,IF(K21="Czech-Notice",0,IF(K21="Lump",4*N21-M21,MAX(0,(11-O21))*N21)))</f>
        <v/>
      </c>
    </row>
    <row r="22" ht="15.75" customHeight="1" s="121">
      <c r="B22" s="62" t="n">
        <v>29</v>
      </c>
      <c r="C22" s="35" t="inlineStr">
        <is>
          <t>Ivo Novosad</t>
        </is>
      </c>
      <c r="D22" s="51" t="inlineStr">
        <is>
          <t>Sr Mgr SE</t>
        </is>
      </c>
      <c r="E22" s="62" t="inlineStr">
        <is>
          <t>CZ</t>
        </is>
      </c>
      <c r="F22" s="63" t="n">
        <v>67654</v>
      </c>
      <c r="G22" s="63" t="n">
        <v>111629</v>
      </c>
      <c r="H22" s="62" t="inlineStr">
        <is>
          <t>Product</t>
        </is>
      </c>
      <c r="I22" s="77" t="inlineStr">
        <is>
          <t>None</t>
        </is>
      </c>
      <c r="J22" s="71" t="n">
        <v>6</v>
      </c>
      <c r="K22" s="66" t="inlineStr">
        <is>
          <t>Czech-Notice</t>
        </is>
      </c>
      <c r="L22" s="67" t="n"/>
      <c r="M22" s="68">
        <f>IF(J22=0,0,F22*J22/52)</f>
        <v/>
      </c>
      <c r="N22" s="68">
        <f>IF(OR(I22="None",I22="None (protected)"),0,G22/52)</f>
        <v/>
      </c>
      <c r="O22" s="69">
        <f>IF(OR(K22="Spread",K22="spread"),ROUNDUP(J22/5,0),IF(K22="Czech-Notice",22,0))</f>
        <v/>
      </c>
      <c r="P22" s="69">
        <f>O22+1</f>
        <v/>
      </c>
      <c r="Q22" s="35">
        <f>IF(OR(I22="None",I22="None (protected)"),"N/A",IF(K22="Czech-Notice","No (Czech notice runs to Oct)",IF(J22&lt;=5,"YES — helps July",IF(J22&lt;=8,"Partial — late July only","No — paid through mid-Aug+"))))</f>
        <v/>
      </c>
      <c r="R22" s="70">
        <f>IF(OR(I22="None",I22="None (protected)"),0,IF(K22="Czech-Notice",0,IF(K22="Lump",4*N22-M22,MAX(0,(11-O22))*N22)))</f>
        <v/>
      </c>
    </row>
    <row r="23" ht="15.75" customHeight="1" s="121">
      <c r="B23" s="62" t="n">
        <v>31</v>
      </c>
      <c r="C23" s="35" t="inlineStr">
        <is>
          <t>Robin Wolny</t>
        </is>
      </c>
      <c r="D23" s="51" t="inlineStr">
        <is>
          <t>Sr DevOps</t>
        </is>
      </c>
      <c r="E23" s="62" t="inlineStr">
        <is>
          <t>CZ</t>
        </is>
      </c>
      <c r="F23" s="63" t="n">
        <v>58310</v>
      </c>
      <c r="G23" s="63" t="n">
        <v>87464</v>
      </c>
      <c r="H23" s="62" t="inlineStr">
        <is>
          <t>Product</t>
        </is>
      </c>
      <c r="I23" s="77" t="inlineStr">
        <is>
          <t>None</t>
        </is>
      </c>
      <c r="J23" s="71" t="n">
        <v>6</v>
      </c>
      <c r="K23" s="66" t="inlineStr">
        <is>
          <t>Czech-Notice</t>
        </is>
      </c>
      <c r="L23" s="67" t="n"/>
      <c r="M23" s="68">
        <f>IF(J23=0,0,F23*J23/52)</f>
        <v/>
      </c>
      <c r="N23" s="68">
        <f>IF(OR(I23="None",I23="None (protected)"),0,G23/52)</f>
        <v/>
      </c>
      <c r="O23" s="69">
        <f>IF(OR(K23="Spread",K23="spread"),ROUNDUP(J23/5,0),IF(K23="Czech-Notice",22,0))</f>
        <v/>
      </c>
      <c r="P23" s="69">
        <f>O23+1</f>
        <v/>
      </c>
      <c r="Q23" s="35">
        <f>IF(OR(I23="None",I23="None (protected)"),"N/A",IF(K23="Czech-Notice","No (Czech notice runs to Oct)",IF(J23&lt;=5,"YES — helps July",IF(J23&lt;=8,"Partial — late July only","No — paid through mid-Aug+"))))</f>
        <v/>
      </c>
      <c r="R23" s="70">
        <f>IF(OR(I23="None",I23="None (protected)"),0,IF(K23="Czech-Notice",0,IF(K23="Lump",4*N23-M23,MAX(0,(11-O23))*N23)))</f>
        <v/>
      </c>
    </row>
    <row r="24" ht="15.75" customHeight="1" s="121">
      <c r="B24" s="62" t="n">
        <v>33</v>
      </c>
      <c r="C24" s="35" t="inlineStr">
        <is>
          <t>Marek Odraska</t>
        </is>
      </c>
      <c r="D24" s="51" t="inlineStr">
        <is>
          <t>Sr Test Auto</t>
        </is>
      </c>
      <c r="E24" s="62" t="inlineStr">
        <is>
          <t>CZ</t>
        </is>
      </c>
      <c r="F24" s="63" t="n">
        <v>47987</v>
      </c>
      <c r="G24" s="63" t="n">
        <v>71981</v>
      </c>
      <c r="H24" s="62" t="inlineStr">
        <is>
          <t>Product</t>
        </is>
      </c>
      <c r="I24" s="77" t="inlineStr">
        <is>
          <t>None</t>
        </is>
      </c>
      <c r="J24" s="71" t="n">
        <v>6</v>
      </c>
      <c r="K24" s="66" t="inlineStr">
        <is>
          <t>Czech-Notice</t>
        </is>
      </c>
      <c r="L24" s="67" t="n"/>
      <c r="M24" s="68">
        <f>IF(J24=0,0,F24*J24/52)</f>
        <v/>
      </c>
      <c r="N24" s="68">
        <f>IF(OR(I24="None",I24="None (protected)"),0,G24/52)</f>
        <v/>
      </c>
      <c r="O24" s="69">
        <f>IF(OR(K24="Spread",K24="spread"),ROUNDUP(J24/5,0),IF(K24="Czech-Notice",22,0))</f>
        <v/>
      </c>
      <c r="P24" s="69">
        <f>O24+1</f>
        <v/>
      </c>
      <c r="Q24" s="35">
        <f>IF(OR(I24="None",I24="None (protected)"),"N/A",IF(K24="Czech-Notice","No (Czech notice runs to Oct)",IF(J24&lt;=5,"YES — helps July",IF(J24&lt;=8,"Partial — late July only","No — paid through mid-Aug+"))))</f>
        <v/>
      </c>
      <c r="R24" s="70">
        <f>IF(OR(I24="None",I24="None (protected)"),0,IF(K24="Czech-Notice",0,IF(K24="Lump",4*N24-M24,MAX(0,(11-O24))*N24)))</f>
        <v/>
      </c>
    </row>
    <row r="25" ht="15.75" customHeight="1" s="121">
      <c r="B25" s="72" t="n">
        <v>34</v>
      </c>
      <c r="C25" s="37" t="inlineStr">
        <is>
          <t>Jiri Stefek</t>
        </is>
      </c>
      <c r="D25" s="76" t="inlineStr">
        <is>
          <t>Sr Test Auto</t>
        </is>
      </c>
      <c r="E25" s="72" t="inlineStr">
        <is>
          <t>CZ</t>
        </is>
      </c>
      <c r="F25" s="74" t="n">
        <v>44224</v>
      </c>
      <c r="G25" s="74" t="n">
        <v>66336</v>
      </c>
      <c r="H25" s="72" t="inlineStr">
        <is>
          <t>Product</t>
        </is>
      </c>
      <c r="I25" s="77" t="inlineStr">
        <is>
          <t>None</t>
        </is>
      </c>
      <c r="J25" s="71" t="n">
        <v>6</v>
      </c>
      <c r="K25" s="66" t="inlineStr">
        <is>
          <t>Czech-Notice</t>
        </is>
      </c>
      <c r="L25" s="67" t="n"/>
      <c r="M25" s="68">
        <f>IF(J25=0,0,F25*J25/52)</f>
        <v/>
      </c>
      <c r="N25" s="68">
        <f>IF(OR(I25="None",I25="None (protected)"),0,G25/52)</f>
        <v/>
      </c>
      <c r="O25" s="69">
        <f>IF(OR(K25="Spread",K25="spread"),ROUNDUP(J25/5,0),IF(K25="Czech-Notice",22,0))</f>
        <v/>
      </c>
      <c r="P25" s="69">
        <f>O25+1</f>
        <v/>
      </c>
      <c r="Q25" s="35">
        <f>IF(OR(I25="None",I25="None (protected)"),"N/A",IF(K25="Czech-Notice","No (Czech notice runs to Oct)",IF(J25&lt;=5,"YES — helps July",IF(J25&lt;=8,"Partial — late July only","No — paid through mid-Aug+"))))</f>
        <v/>
      </c>
      <c r="R25" s="70">
        <f>IF(OR(I25="None",I25="None (protected)"),0,IF(K25="Czech-Notice",0,IF(K25="Lump",4*N25-M25,MAX(0,(11-O25))*N25)))</f>
        <v/>
      </c>
    </row>
    <row r="26" ht="15.75" customHeight="1" s="121">
      <c r="B26" s="62" t="n">
        <v>37</v>
      </c>
      <c r="C26" s="35" t="inlineStr">
        <is>
          <t>Jan Mátl</t>
        </is>
      </c>
      <c r="D26" s="51" t="inlineStr">
        <is>
          <t>Full Stack Dev</t>
        </is>
      </c>
      <c r="E26" s="62" t="inlineStr">
        <is>
          <t>CZ</t>
        </is>
      </c>
      <c r="F26" s="63" t="n">
        <v>31304</v>
      </c>
      <c r="G26" s="63" t="n">
        <v>46957</v>
      </c>
      <c r="H26" s="62" t="inlineStr">
        <is>
          <t>Product</t>
        </is>
      </c>
      <c r="I26" s="77" t="inlineStr">
        <is>
          <t>None</t>
        </is>
      </c>
      <c r="J26" s="71" t="n">
        <v>6</v>
      </c>
      <c r="K26" s="66" t="inlineStr">
        <is>
          <t>Czech-Notice</t>
        </is>
      </c>
      <c r="L26" s="67" t="n"/>
      <c r="M26" s="68">
        <f>IF(J26=0,0,F26*J26/52)</f>
        <v/>
      </c>
      <c r="N26" s="68">
        <f>IF(OR(I26="None",I26="None (protected)"),0,G26/52)</f>
        <v/>
      </c>
      <c r="O26" s="69">
        <f>IF(OR(K26="Spread",K26="spread"),ROUNDUP(J26/5,0),IF(K26="Czech-Notice",22,0))</f>
        <v/>
      </c>
      <c r="P26" s="69">
        <f>O26+1</f>
        <v/>
      </c>
      <c r="Q26" s="35">
        <f>IF(OR(I26="None",I26="None (protected)"),"N/A",IF(K26="Czech-Notice","No (Czech notice runs to Oct)",IF(J26&lt;=5,"YES — helps July",IF(J26&lt;=8,"Partial — late July only","No — paid through mid-Aug+"))))</f>
        <v/>
      </c>
      <c r="R26" s="70">
        <f>IF(OR(I26="None",I26="None (protected)"),0,IF(K26="Czech-Notice",0,IF(K26="Lump",4*N26-M26,MAX(0,(11-O26))*N26)))</f>
        <v/>
      </c>
    </row>
    <row r="27" ht="15.75" customHeight="1" s="121">
      <c r="B27" s="62" t="n">
        <v>35</v>
      </c>
      <c r="C27" s="35" t="inlineStr">
        <is>
          <t>Abhinav Khawarey</t>
        </is>
      </c>
      <c r="D27" s="51" t="inlineStr">
        <is>
          <t>Product Manager</t>
        </is>
      </c>
      <c r="E27" s="62" t="inlineStr">
        <is>
          <t>IN</t>
        </is>
      </c>
      <c r="F27" s="63" t="n">
        <v>41137</v>
      </c>
      <c r="G27" s="63" t="n">
        <v>60437</v>
      </c>
      <c r="H27" s="62" t="inlineStr">
        <is>
          <t>Product</t>
        </is>
      </c>
      <c r="I27" s="77" t="inlineStr">
        <is>
          <t>None</t>
        </is>
      </c>
      <c r="J27" s="79" t="n">
        <v>0</v>
      </c>
      <c r="K27" s="78" t="inlineStr">
        <is>
          <t>N/A</t>
        </is>
      </c>
      <c r="L27" s="78" t="inlineStr">
        <is>
          <t>—</t>
        </is>
      </c>
      <c r="M27" s="68">
        <f>IF(J27=0,0,F27*J27/52)</f>
        <v/>
      </c>
      <c r="N27" s="68">
        <f>IF(OR(I27="None",I27="None (protected)"),0,G27/52)</f>
        <v/>
      </c>
      <c r="O27" s="69">
        <f>IF(OR(K27="Spread",K27="spread"),ROUNDUP(J27/5,0),IF(K27="Czech-Notice",22,0))</f>
        <v/>
      </c>
      <c r="P27" s="69">
        <f>O27+1</f>
        <v/>
      </c>
      <c r="Q27" s="35">
        <f>IF(OR(I27="None",I27="None (protected)"),"N/A",IF(K27="Czech-Notice","No (Czech notice runs to Oct)",IF(J27&lt;=5,"YES — helps July",IF(J27&lt;=8,"Partial — late July only","No — paid through mid-Aug+"))))</f>
        <v/>
      </c>
      <c r="R27" s="70">
        <f>IF(OR(I27="None",I27="None (protected)"),0,IF(K27="Czech-Notice",0,IF(K27="Lump",4*N27-M27,MAX(0,(11-O27))*N27)))</f>
        <v/>
      </c>
    </row>
    <row r="28" ht="15.75" customHeight="1" s="121">
      <c r="B28" s="62" t="n">
        <v>1</v>
      </c>
      <c r="C28" s="35" t="inlineStr">
        <is>
          <t>Michael Chasen</t>
        </is>
      </c>
      <c r="D28" s="51" t="inlineStr">
        <is>
          <t>CEO</t>
        </is>
      </c>
      <c r="E28" s="62" t="inlineStr">
        <is>
          <t>US</t>
        </is>
      </c>
      <c r="F28" s="63" t="n">
        <v>250000</v>
      </c>
      <c r="G28" s="63" t="n">
        <v>400000</v>
      </c>
      <c r="H28" s="62" t="inlineStr">
        <is>
          <t>G&amp;A</t>
        </is>
      </c>
      <c r="I28" s="77" t="inlineStr">
        <is>
          <t>None</t>
        </is>
      </c>
      <c r="J28" s="79" t="n">
        <v>0</v>
      </c>
      <c r="K28" s="78" t="inlineStr">
        <is>
          <t>N/A</t>
        </is>
      </c>
      <c r="L28" s="78" t="inlineStr">
        <is>
          <t>—</t>
        </is>
      </c>
      <c r="M28" s="68">
        <f>IF(J28=0,0,F28*J28/52)</f>
        <v/>
      </c>
      <c r="N28" s="68">
        <f>IF(OR(I28="None",I28="None (protected)"),0,G28/52)</f>
        <v/>
      </c>
      <c r="O28" s="69">
        <f>IF(OR(K28="Spread",K28="spread"),ROUNDUP(J28/5,0),IF(K28="Czech-Notice",22,0))</f>
        <v/>
      </c>
      <c r="P28" s="69">
        <f>O28+1</f>
        <v/>
      </c>
      <c r="Q28" s="35">
        <f>IF(OR(I28="None",I28="None (protected)"),"N/A",IF(K28="Czech-Notice","No (Czech notice runs to Oct)",IF(J28&lt;=5,"YES — helps July",IF(J28&lt;=8,"Partial — late July only","No — paid through mid-Aug+"))))</f>
        <v/>
      </c>
      <c r="R28" s="70">
        <f>IF(OR(I28="None",I28="None (protected)"),0,IF(K28="Czech-Notice",0,IF(K28="Lump",4*N28-M28,MAX(0,(11-O28))*N28)))</f>
        <v/>
      </c>
    </row>
    <row r="29" ht="15.75" customHeight="1" s="121">
      <c r="B29" s="72" t="n">
        <v>2</v>
      </c>
      <c r="C29" s="37" t="inlineStr">
        <is>
          <t>Brian Bharwani</t>
        </is>
      </c>
      <c r="D29" s="76" t="inlineStr">
        <is>
          <t>CFO</t>
        </is>
      </c>
      <c r="E29" s="72" t="inlineStr">
        <is>
          <t>US</t>
        </is>
      </c>
      <c r="F29" s="74" t="n">
        <v>250000</v>
      </c>
      <c r="G29" s="74" t="n">
        <v>400000</v>
      </c>
      <c r="H29" s="72" t="inlineStr">
        <is>
          <t>G&amp;A</t>
        </is>
      </c>
      <c r="I29" s="77" t="inlineStr">
        <is>
          <t>None</t>
        </is>
      </c>
      <c r="J29" s="79" t="n">
        <v>0</v>
      </c>
      <c r="K29" s="78" t="inlineStr">
        <is>
          <t>N/A</t>
        </is>
      </c>
      <c r="L29" s="78" t="inlineStr">
        <is>
          <t>—</t>
        </is>
      </c>
      <c r="M29" s="68">
        <f>IF(J29=0,0,F29*J29/52)</f>
        <v/>
      </c>
      <c r="N29" s="68">
        <f>IF(OR(I29="None",I29="None (protected)"),0,G29/52)</f>
        <v/>
      </c>
      <c r="O29" s="69">
        <f>IF(OR(K29="Spread",K29="spread"),ROUNDUP(J29/5,0),IF(K29="Czech-Notice",22,0))</f>
        <v/>
      </c>
      <c r="P29" s="69">
        <f>O29+1</f>
        <v/>
      </c>
      <c r="Q29" s="35">
        <f>IF(OR(I29="None",I29="None (protected)"),"N/A",IF(K29="Czech-Notice","No (Czech notice runs to Oct)",IF(J29&lt;=5,"YES — helps July",IF(J29&lt;=8,"Partial — late July only","No — paid through mid-Aug+"))))</f>
        <v/>
      </c>
      <c r="R29" s="70">
        <f>IF(OR(I29="None",I29="None (protected)"),0,IF(K29="Czech-Notice",0,IF(K29="Lump",4*N29-M29,MAX(0,(11-O29))*N29)))</f>
        <v/>
      </c>
    </row>
    <row r="30" ht="15.75" customHeight="1" s="121">
      <c r="B30" s="62" t="n">
        <v>3</v>
      </c>
      <c r="C30" s="35" t="inlineStr">
        <is>
          <t>Russell Teter</t>
        </is>
      </c>
      <c r="D30" s="51" t="inlineStr">
        <is>
          <t>SVP BD &amp; Ops</t>
        </is>
      </c>
      <c r="E30" s="62" t="inlineStr">
        <is>
          <t>US</t>
        </is>
      </c>
      <c r="F30" s="63" t="n">
        <v>250000</v>
      </c>
      <c r="G30" s="63" t="n">
        <v>400000</v>
      </c>
      <c r="H30" s="62" t="inlineStr">
        <is>
          <t>G&amp;A</t>
        </is>
      </c>
      <c r="I30" s="77" t="inlineStr">
        <is>
          <t>None</t>
        </is>
      </c>
      <c r="J30" s="79" t="n">
        <v>0</v>
      </c>
      <c r="K30" s="78" t="inlineStr">
        <is>
          <t>N/A</t>
        </is>
      </c>
      <c r="L30" s="78" t="inlineStr">
        <is>
          <t>—</t>
        </is>
      </c>
      <c r="M30" s="68">
        <f>IF(J30=0,0,F30*J30/52)</f>
        <v/>
      </c>
      <c r="N30" s="68">
        <f>IF(OR(I30="None",I30="None (protected)"),0,G30/52)</f>
        <v/>
      </c>
      <c r="O30" s="69">
        <f>IF(OR(K30="Spread",K30="spread"),ROUNDUP(J30/5,0),IF(K30="Czech-Notice",22,0))</f>
        <v/>
      </c>
      <c r="P30" s="69">
        <f>O30+1</f>
        <v/>
      </c>
      <c r="Q30" s="35">
        <f>IF(OR(I30="None",I30="None (protected)"),"N/A",IF(K30="Czech-Notice","No (Czech notice runs to Oct)",IF(J30&lt;=5,"YES — helps July",IF(J30&lt;=8,"Partial — late July only","No — paid through mid-Aug+"))))</f>
        <v/>
      </c>
      <c r="R30" s="70">
        <f>IF(OR(I30="None",I30="None (protected)"),0,IF(K30="Czech-Notice",0,IF(K30="Lump",4*N30-M30,MAX(0,(11-O30))*N30)))</f>
        <v/>
      </c>
    </row>
    <row r="31" ht="15.75" customHeight="1" s="121">
      <c r="B31" s="72" t="n">
        <v>4</v>
      </c>
      <c r="C31" s="37" t="inlineStr">
        <is>
          <t>Nicole Brantley</t>
        </is>
      </c>
      <c r="D31" s="76" t="inlineStr">
        <is>
          <t>VP of Accounting</t>
        </is>
      </c>
      <c r="E31" s="72" t="inlineStr">
        <is>
          <t>US</t>
        </is>
      </c>
      <c r="F31" s="74" t="n">
        <v>205000</v>
      </c>
      <c r="G31" s="74" t="n">
        <v>276450</v>
      </c>
      <c r="H31" s="72" t="inlineStr">
        <is>
          <t>G&amp;A</t>
        </is>
      </c>
      <c r="I31" s="77" t="inlineStr">
        <is>
          <t>None</t>
        </is>
      </c>
      <c r="J31" s="79" t="n">
        <v>0</v>
      </c>
      <c r="K31" s="78" t="inlineStr">
        <is>
          <t>N/A</t>
        </is>
      </c>
      <c r="L31" s="78" t="inlineStr">
        <is>
          <t>—</t>
        </is>
      </c>
      <c r="M31" s="68">
        <f>IF(J31=0,0,F31*J31/52)</f>
        <v/>
      </c>
      <c r="N31" s="68">
        <f>IF(OR(I31="None",I31="None (protected)"),0,G31/52)</f>
        <v/>
      </c>
      <c r="O31" s="69">
        <f>IF(OR(K31="Spread",K31="spread"),ROUNDUP(J31/5,0),IF(K31="Czech-Notice",22,0))</f>
        <v/>
      </c>
      <c r="P31" s="69">
        <f>O31+1</f>
        <v/>
      </c>
      <c r="Q31" s="35">
        <f>IF(OR(I31="None",I31="None (protected)"),"N/A",IF(K31="Czech-Notice","No (Czech notice runs to Oct)",IF(J31&lt;=5,"YES — helps July",IF(J31&lt;=8,"Partial — late July only","No — paid through mid-Aug+"))))</f>
        <v/>
      </c>
      <c r="R31" s="70">
        <f>IF(OR(I31="None",I31="None (protected)"),0,IF(K31="Czech-Notice",0,IF(K31="Lump",4*N31-M31,MAX(0,(11-O31))*N31)))</f>
        <v/>
      </c>
    </row>
    <row r="32" ht="15.75" customHeight="1" s="121">
      <c r="B32" s="72" t="n">
        <v>14</v>
      </c>
      <c r="C32" s="37" t="inlineStr">
        <is>
          <t>Sabina Cramer</t>
        </is>
      </c>
      <c r="D32" s="76" t="inlineStr">
        <is>
          <t>SVP Renewal Sales</t>
        </is>
      </c>
      <c r="E32" s="72" t="inlineStr">
        <is>
          <t>EU</t>
        </is>
      </c>
      <c r="F32" s="74" t="n">
        <v>223220</v>
      </c>
      <c r="G32" s="74" t="n">
        <v>409431</v>
      </c>
      <c r="H32" s="72" t="inlineStr">
        <is>
          <t>Renewals</t>
        </is>
      </c>
      <c r="I32" s="77" t="inlineStr">
        <is>
          <t>None</t>
        </is>
      </c>
      <c r="J32" s="79" t="n">
        <v>0</v>
      </c>
      <c r="K32" s="78" t="inlineStr">
        <is>
          <t>N/A</t>
        </is>
      </c>
      <c r="L32" s="78" t="inlineStr">
        <is>
          <t>—</t>
        </is>
      </c>
      <c r="M32" s="68">
        <f>IF(J32=0,0,F32*J32/52)</f>
        <v/>
      </c>
      <c r="N32" s="68">
        <f>IF(OR(I32="None",I32="None (protected)"),0,G32/52)</f>
        <v/>
      </c>
      <c r="O32" s="69">
        <f>IF(OR(K32="Spread",K32="spread"),ROUNDUP(J32/5,0),IF(K32="Czech-Notice",22,0))</f>
        <v/>
      </c>
      <c r="P32" s="69">
        <f>O32+1</f>
        <v/>
      </c>
      <c r="Q32" s="35">
        <f>IF(OR(I32="None",I32="None (protected)"),"N/A",IF(K32="Czech-Notice","No (Czech notice runs to Oct)",IF(J32&lt;=5,"YES — helps July",IF(J32&lt;=8,"Partial — late July only","No — paid through mid-Aug+"))))</f>
        <v/>
      </c>
      <c r="R32" s="70">
        <f>IF(OR(I32="None",I32="None (protected)"),0,IF(K32="Czech-Notice",0,IF(K32="Lump",4*N32-M32,MAX(0,(11-O32))*N32)))</f>
        <v/>
      </c>
    </row>
    <row r="33" ht="15.75" customHeight="1" s="121">
      <c r="B33" s="62" t="n">
        <v>15</v>
      </c>
      <c r="C33" s="35" t="inlineStr">
        <is>
          <t>Andee Bodenstein</t>
        </is>
      </c>
      <c r="D33" s="51" t="inlineStr">
        <is>
          <t>Account Manager NA</t>
        </is>
      </c>
      <c r="E33" s="62" t="inlineStr">
        <is>
          <t>US</t>
        </is>
      </c>
      <c r="F33" s="63" t="n">
        <v>115000</v>
      </c>
      <c r="G33" s="63" t="n">
        <v>178625</v>
      </c>
      <c r="H33" s="62" t="inlineStr">
        <is>
          <t>Renewals</t>
        </is>
      </c>
      <c r="I33" s="77" t="inlineStr">
        <is>
          <t>None</t>
        </is>
      </c>
      <c r="J33" s="79" t="n">
        <v>0</v>
      </c>
      <c r="K33" s="78" t="inlineStr">
        <is>
          <t>N/A</t>
        </is>
      </c>
      <c r="L33" s="78" t="inlineStr">
        <is>
          <t>—</t>
        </is>
      </c>
      <c r="M33" s="68">
        <f>IF(J33=0,0,F33*J33/52)</f>
        <v/>
      </c>
      <c r="N33" s="68">
        <f>IF(OR(I33="None",I33="None (protected)"),0,G33/52)</f>
        <v/>
      </c>
      <c r="O33" s="69">
        <f>IF(OR(K33="Spread",K33="spread"),ROUNDUP(J33/5,0),IF(K33="Czech-Notice",22,0))</f>
        <v/>
      </c>
      <c r="P33" s="69">
        <f>O33+1</f>
        <v/>
      </c>
      <c r="Q33" s="35">
        <f>IF(OR(I33="None",I33="None (protected)"),"N/A",IF(K33="Czech-Notice","No (Czech notice runs to Oct)",IF(J33&lt;=5,"YES — helps July",IF(J33&lt;=8,"Partial — late July only","No — paid through mid-Aug+"))))</f>
        <v/>
      </c>
      <c r="R33" s="70">
        <f>IF(OR(I33="None",I33="None (protected)"),0,IF(K33="Czech-Notice",0,IF(K33="Lump",4*N33-M33,MAX(0,(11-O33))*N33)))</f>
        <v/>
      </c>
    </row>
    <row r="34" ht="15.75" customHeight="1" s="121">
      <c r="B34" s="72" t="n">
        <v>16</v>
      </c>
      <c r="C34" s="37" t="inlineStr">
        <is>
          <t>Holly Hardin</t>
        </is>
      </c>
      <c r="D34" s="76" t="inlineStr">
        <is>
          <t>CS Manager</t>
        </is>
      </c>
      <c r="E34" s="72" t="inlineStr">
        <is>
          <t>US</t>
        </is>
      </c>
      <c r="F34" s="74" t="n">
        <v>110000</v>
      </c>
      <c r="G34" s="74" t="n">
        <v>142075</v>
      </c>
      <c r="H34" s="72" t="inlineStr">
        <is>
          <t>Renewals</t>
        </is>
      </c>
      <c r="I34" s="77" t="inlineStr">
        <is>
          <t>None</t>
        </is>
      </c>
      <c r="J34" s="79" t="n">
        <v>0</v>
      </c>
      <c r="K34" s="78" t="inlineStr">
        <is>
          <t>N/A</t>
        </is>
      </c>
      <c r="L34" s="78" t="inlineStr">
        <is>
          <t>—</t>
        </is>
      </c>
      <c r="M34" s="68">
        <f>IF(J34=0,0,F34*J34/52)</f>
        <v/>
      </c>
      <c r="N34" s="68">
        <f>IF(OR(I34="None",I34="None (protected)"),0,G34/52)</f>
        <v/>
      </c>
      <c r="O34" s="69">
        <f>IF(OR(K34="Spread",K34="spread"),ROUNDUP(J34/5,0),IF(K34="Czech-Notice",22,0))</f>
        <v/>
      </c>
      <c r="P34" s="69">
        <f>O34+1</f>
        <v/>
      </c>
      <c r="Q34" s="35">
        <f>IF(OR(I34="None",I34="None (protected)"),"N/A",IF(K34="Czech-Notice","No (Czech notice runs to Oct)",IF(J34&lt;=5,"YES — helps July",IF(J34&lt;=8,"Partial — late July only","No — paid through mid-Aug+"))))</f>
        <v/>
      </c>
      <c r="R34" s="70">
        <f>IF(OR(I34="None",I34="None (protected)"),0,IF(K34="Czech-Notice",0,IF(K34="Lump",4*N34-M34,MAX(0,(11-O34))*N34)))</f>
        <v/>
      </c>
    </row>
    <row r="35" ht="15.75" customHeight="1" s="121">
      <c r="B35" s="62" t="n">
        <v>17</v>
      </c>
      <c r="C35" s="35" t="inlineStr">
        <is>
          <t>Robert Thayer</t>
        </is>
      </c>
      <c r="D35" s="51" t="inlineStr">
        <is>
          <t>Account Manager</t>
        </is>
      </c>
      <c r="E35" s="62" t="inlineStr">
        <is>
          <t>US</t>
        </is>
      </c>
      <c r="F35" s="63" t="n">
        <v>104000</v>
      </c>
      <c r="G35" s="63" t="n">
        <v>156050</v>
      </c>
      <c r="H35" s="62" t="inlineStr">
        <is>
          <t>Renewals</t>
        </is>
      </c>
      <c r="I35" s="77" t="inlineStr">
        <is>
          <t>None</t>
        </is>
      </c>
      <c r="J35" s="79" t="n">
        <v>0</v>
      </c>
      <c r="K35" s="78" t="inlineStr">
        <is>
          <t>N/A</t>
        </is>
      </c>
      <c r="L35" s="78" t="inlineStr">
        <is>
          <t>—</t>
        </is>
      </c>
      <c r="M35" s="68">
        <f>IF(J35=0,0,F35*J35/52)</f>
        <v/>
      </c>
      <c r="N35" s="68">
        <f>IF(OR(I35="None",I35="None (protected)"),0,G35/52)</f>
        <v/>
      </c>
      <c r="O35" s="69">
        <f>IF(OR(K35="Spread",K35="spread"),ROUNDUP(J35/5,0),IF(K35="Czech-Notice",22,0))</f>
        <v/>
      </c>
      <c r="P35" s="69">
        <f>O35+1</f>
        <v/>
      </c>
      <c r="Q35" s="35">
        <f>IF(OR(I35="None",I35="None (protected)"),"N/A",IF(K35="Czech-Notice","No (Czech notice runs to Oct)",IF(J35&lt;=5,"YES — helps July",IF(J35&lt;=8,"Partial — late July only","No — paid through mid-Aug+"))))</f>
        <v/>
      </c>
      <c r="R35" s="70">
        <f>IF(OR(I35="None",I35="None (protected)"),0,IF(K35="Czech-Notice",0,IF(K35="Lump",4*N35-M35,MAX(0,(11-O35))*N35)))</f>
        <v/>
      </c>
    </row>
    <row r="36" ht="15.75" customHeight="1" s="121">
      <c r="B36" s="72" t="n">
        <v>18</v>
      </c>
      <c r="C36" s="37" t="inlineStr">
        <is>
          <t>Emmanuel Clemot</t>
        </is>
      </c>
      <c r="D36" s="76" t="inlineStr">
        <is>
          <t>Channel AM MENA</t>
        </is>
      </c>
      <c r="E36" s="72" t="inlineStr">
        <is>
          <t>EU</t>
        </is>
      </c>
      <c r="F36" s="74" t="n">
        <v>103150</v>
      </c>
      <c r="G36" s="74" t="n">
        <v>133150</v>
      </c>
      <c r="H36" s="72" t="inlineStr">
        <is>
          <t>Renewals</t>
        </is>
      </c>
      <c r="I36" s="77" t="inlineStr">
        <is>
          <t>None</t>
        </is>
      </c>
      <c r="J36" s="79" t="n">
        <v>0</v>
      </c>
      <c r="K36" s="78" t="inlineStr">
        <is>
          <t>N/A</t>
        </is>
      </c>
      <c r="L36" s="78" t="inlineStr">
        <is>
          <t>—</t>
        </is>
      </c>
      <c r="M36" s="68">
        <f>IF(J36=0,0,F36*J36/52)</f>
        <v/>
      </c>
      <c r="N36" s="68">
        <f>IF(OR(I36="None",I36="None (protected)"),0,G36/52)</f>
        <v/>
      </c>
      <c r="O36" s="69">
        <f>IF(OR(K36="Spread",K36="spread"),ROUNDUP(J36/5,0),IF(K36="Czech-Notice",22,0))</f>
        <v/>
      </c>
      <c r="P36" s="69">
        <f>O36+1</f>
        <v/>
      </c>
      <c r="Q36" s="35">
        <f>IF(OR(I36="None",I36="None (protected)"),"N/A",IF(K36="Czech-Notice","No (Czech notice runs to Oct)",IF(J36&lt;=5,"YES — helps July",IF(J36&lt;=8,"Partial — late July only","No — paid through mid-Aug+"))))</f>
        <v/>
      </c>
      <c r="R36" s="70">
        <f>IF(OR(I36="None",I36="None (protected)"),0,IF(K36="Czech-Notice",0,IF(K36="Lump",4*N36-M36,MAX(0,(11-O36))*N36)))</f>
        <v/>
      </c>
    </row>
    <row r="37" ht="15.75" customHeight="1" s="121">
      <c r="B37" s="62" t="n">
        <v>19</v>
      </c>
      <c r="C37" s="35" t="inlineStr">
        <is>
          <t>Armanda Sereikaitė</t>
        </is>
      </c>
      <c r="D37" s="51" t="inlineStr">
        <is>
          <t>AM/CSM LAC</t>
        </is>
      </c>
      <c r="E37" s="62" t="inlineStr">
        <is>
          <t>Intl</t>
        </is>
      </c>
      <c r="F37" s="63" t="n">
        <v>65000</v>
      </c>
      <c r="G37" s="63" t="n">
        <v>80000</v>
      </c>
      <c r="H37" s="62" t="inlineStr">
        <is>
          <t>Renewals</t>
        </is>
      </c>
      <c r="I37" s="77" t="inlineStr">
        <is>
          <t>None</t>
        </is>
      </c>
      <c r="J37" s="79" t="n">
        <v>0</v>
      </c>
      <c r="K37" s="78" t="inlineStr">
        <is>
          <t>N/A</t>
        </is>
      </c>
      <c r="L37" s="78" t="inlineStr">
        <is>
          <t>—</t>
        </is>
      </c>
      <c r="M37" s="68">
        <f>IF(J37=0,0,F37*J37/52)</f>
        <v/>
      </c>
      <c r="N37" s="68">
        <f>IF(OR(I37="None",I37="None (protected)"),0,G37/52)</f>
        <v/>
      </c>
      <c r="O37" s="69">
        <f>IF(OR(K37="Spread",K37="spread"),ROUNDUP(J37/5,0),IF(K37="Czech-Notice",22,0))</f>
        <v/>
      </c>
      <c r="P37" s="69">
        <f>O37+1</f>
        <v/>
      </c>
      <c r="Q37" s="35">
        <f>IF(OR(I37="None",I37="None (protected)"),"N/A",IF(K37="Czech-Notice","No (Czech notice runs to Oct)",IF(J37&lt;=5,"YES — helps July",IF(J37&lt;=8,"Partial — late July only","No — paid through mid-Aug+"))))</f>
        <v/>
      </c>
      <c r="R37" s="70">
        <f>IF(OR(I37="None",I37="None (protected)"),0,IF(K37="Czech-Notice",0,IF(K37="Lump",4*N37-M37,MAX(0,(11-O37))*N37)))</f>
        <v/>
      </c>
    </row>
    <row r="38" ht="15.75" customHeight="1" s="121">
      <c r="B38" s="72" t="n">
        <v>20</v>
      </c>
      <c r="C38" s="37" t="inlineStr">
        <is>
          <t>Jorge Salinas</t>
        </is>
      </c>
      <c r="D38" s="76" t="inlineStr">
        <is>
          <t>Dir Global SE</t>
        </is>
      </c>
      <c r="E38" s="72" t="inlineStr">
        <is>
          <t>US</t>
        </is>
      </c>
      <c r="F38" s="74" t="n">
        <v>151670</v>
      </c>
      <c r="G38" s="74" t="n">
        <v>191170</v>
      </c>
      <c r="H38" s="72" t="inlineStr">
        <is>
          <t>CS</t>
        </is>
      </c>
      <c r="I38" s="77" t="inlineStr">
        <is>
          <t>None</t>
        </is>
      </c>
      <c r="J38" s="79" t="n">
        <v>0</v>
      </c>
      <c r="K38" s="78" t="inlineStr">
        <is>
          <t>N/A</t>
        </is>
      </c>
      <c r="L38" s="78" t="inlineStr">
        <is>
          <t>—</t>
        </is>
      </c>
      <c r="M38" s="68">
        <f>IF(J38=0,0,F38*J38/52)</f>
        <v/>
      </c>
      <c r="N38" s="68">
        <f>IF(OR(I38="None",I38="None (protected)"),0,G38/52)</f>
        <v/>
      </c>
      <c r="O38" s="69">
        <f>IF(OR(K38="Spread",K38="spread"),ROUNDUP(J38/5,0),IF(K38="Czech-Notice",22,0))</f>
        <v/>
      </c>
      <c r="P38" s="69">
        <f>O38+1</f>
        <v/>
      </c>
      <c r="Q38" s="35">
        <f>IF(OR(I38="None",I38="None (protected)"),"N/A",IF(K38="Czech-Notice","No (Czech notice runs to Oct)",IF(J38&lt;=5,"YES — helps July",IF(J38&lt;=8,"Partial — late July only","No — paid through mid-Aug+"))))</f>
        <v/>
      </c>
      <c r="R38" s="70">
        <f>IF(OR(I38="None",I38="None (protected)"),0,IF(K38="Czech-Notice",0,IF(K38="Lump",4*N38-M38,MAX(0,(11-O38))*N38)))</f>
        <v/>
      </c>
    </row>
    <row r="39" ht="15.75" customHeight="1" s="121">
      <c r="B39" s="62" t="n">
        <v>21</v>
      </c>
      <c r="C39" s="35" t="inlineStr">
        <is>
          <t>Alan Lam</t>
        </is>
      </c>
      <c r="D39" s="51" t="inlineStr">
        <is>
          <t>Solutions Engineer APAC</t>
        </is>
      </c>
      <c r="E39" s="62" t="inlineStr">
        <is>
          <t>APAC</t>
        </is>
      </c>
      <c r="F39" s="63" t="n">
        <v>119016</v>
      </c>
      <c r="G39" s="63" t="n">
        <v>134016</v>
      </c>
      <c r="H39" s="62" t="inlineStr">
        <is>
          <t>CS</t>
        </is>
      </c>
      <c r="I39" s="77" t="inlineStr">
        <is>
          <t>None</t>
        </is>
      </c>
      <c r="J39" s="79" t="n">
        <v>0</v>
      </c>
      <c r="K39" s="78" t="inlineStr">
        <is>
          <t>N/A</t>
        </is>
      </c>
      <c r="L39" s="78" t="inlineStr">
        <is>
          <t>—</t>
        </is>
      </c>
      <c r="M39" s="68">
        <f>IF(J39=0,0,F39*J39/52)</f>
        <v/>
      </c>
      <c r="N39" s="68">
        <f>IF(OR(I39="None",I39="None (protected)"),0,G39/52)</f>
        <v/>
      </c>
      <c r="O39" s="69">
        <f>IF(OR(K39="Spread",K39="spread"),ROUNDUP(J39/5,0),IF(K39="Czech-Notice",22,0))</f>
        <v/>
      </c>
      <c r="P39" s="69">
        <f>O39+1</f>
        <v/>
      </c>
      <c r="Q39" s="35">
        <f>IF(OR(I39="None",I39="None (protected)"),"N/A",IF(K39="Czech-Notice","No (Czech notice runs to Oct)",IF(J39&lt;=5,"YES — helps July",IF(J39&lt;=8,"Partial — late July only","No — paid through mid-Aug+"))))</f>
        <v/>
      </c>
      <c r="R39" s="70">
        <f>IF(OR(I39="None",I39="None (protected)"),0,IF(K39="Czech-Notice",0,IF(K39="Lump",4*N39-M39,MAX(0,(11-O39))*N39)))</f>
        <v/>
      </c>
    </row>
    <row r="40" ht="15.75" customHeight="1" s="121">
      <c r="B40" s="62" t="n">
        <v>23</v>
      </c>
      <c r="C40" s="35" t="inlineStr">
        <is>
          <t>Scott Perian</t>
        </is>
      </c>
      <c r="D40" s="51" t="inlineStr">
        <is>
          <t>Chief Architect</t>
        </is>
      </c>
      <c r="E40" s="62" t="inlineStr">
        <is>
          <t>US</t>
        </is>
      </c>
      <c r="F40" s="63" t="n">
        <v>215000</v>
      </c>
      <c r="G40" s="63" t="n">
        <v>266238</v>
      </c>
      <c r="H40" s="62" t="inlineStr">
        <is>
          <t>Product</t>
        </is>
      </c>
      <c r="I40" s="77" t="inlineStr">
        <is>
          <t>None</t>
        </is>
      </c>
      <c r="J40" s="79" t="n">
        <v>0</v>
      </c>
      <c r="K40" s="78" t="inlineStr">
        <is>
          <t>N/A</t>
        </is>
      </c>
      <c r="L40" s="78" t="inlineStr">
        <is>
          <t>—</t>
        </is>
      </c>
      <c r="M40" s="68">
        <f>IF(J40=0,0,F40*J40/52)</f>
        <v/>
      </c>
      <c r="N40" s="68">
        <f>IF(OR(I40="None",I40="None (protected)"),0,G40/52)</f>
        <v/>
      </c>
      <c r="O40" s="69">
        <f>IF(OR(K40="Spread",K40="spread"),ROUNDUP(J40/5,0),IF(K40="Czech-Notice",22,0))</f>
        <v/>
      </c>
      <c r="P40" s="69">
        <f>O40+1</f>
        <v/>
      </c>
      <c r="Q40" s="35">
        <f>IF(OR(I40="None",I40="None (protected)"),"N/A",IF(K40="Czech-Notice","No (Czech notice runs to Oct)",IF(J40&lt;=5,"YES — helps July",IF(J40&lt;=8,"Partial — late July only","No — paid through mid-Aug+"))))</f>
        <v/>
      </c>
      <c r="R40" s="70">
        <f>IF(OR(I40="None",I40="None (protected)"),0,IF(K40="Czech-Notice",0,IF(K40="Lump",4*N40-M40,MAX(0,(11-O40))*N40)))</f>
        <v/>
      </c>
    </row>
    <row r="41" ht="15.75" customHeight="1" s="121">
      <c r="B41" s="72" t="n">
        <v>24</v>
      </c>
      <c r="C41" s="37" t="inlineStr">
        <is>
          <t>Balwant Bisht</t>
        </is>
      </c>
      <c r="D41" s="76" t="inlineStr">
        <is>
          <t>Staff SE</t>
        </is>
      </c>
      <c r="E41" s="72" t="inlineStr">
        <is>
          <t>US</t>
        </is>
      </c>
      <c r="F41" s="74" t="n">
        <v>140000</v>
      </c>
      <c r="G41" s="74" t="n">
        <v>177550</v>
      </c>
      <c r="H41" s="72" t="inlineStr">
        <is>
          <t>Product</t>
        </is>
      </c>
      <c r="I41" s="77" t="inlineStr">
        <is>
          <t>None</t>
        </is>
      </c>
      <c r="J41" s="79" t="n">
        <v>0</v>
      </c>
      <c r="K41" s="78" t="inlineStr">
        <is>
          <t>N/A</t>
        </is>
      </c>
      <c r="L41" s="78" t="inlineStr">
        <is>
          <t>—</t>
        </is>
      </c>
      <c r="M41" s="68">
        <f>IF(J41=0,0,F41*J41/52)</f>
        <v/>
      </c>
      <c r="N41" s="68">
        <f>IF(OR(I41="None",I41="None (protected)"),0,G41/52)</f>
        <v/>
      </c>
      <c r="O41" s="69">
        <f>IF(OR(K41="Spread",K41="spread"),ROUNDUP(J41/5,0),IF(K41="Czech-Notice",22,0))</f>
        <v/>
      </c>
      <c r="P41" s="69">
        <f>O41+1</f>
        <v/>
      </c>
      <c r="Q41" s="35">
        <f>IF(OR(I41="None",I41="None (protected)"),"N/A",IF(K41="Czech-Notice","No (Czech notice runs to Oct)",IF(J41&lt;=5,"YES — helps July",IF(J41&lt;=8,"Partial — late July only","No — paid through mid-Aug+"))))</f>
        <v/>
      </c>
      <c r="R41" s="70">
        <f>IF(OR(I41="None",I41="None (protected)"),0,IF(K41="Czech-Notice",0,IF(K41="Lump",4*N41-M41,MAX(0,(11-O41))*N41)))</f>
        <v/>
      </c>
    </row>
    <row r="42" ht="15.75" customHeight="1" s="121">
      <c r="B42" s="62" t="n">
        <v>25</v>
      </c>
      <c r="C42" s="35" t="inlineStr">
        <is>
          <t>Gavin Llewellyn</t>
        </is>
      </c>
      <c r="D42" s="51" t="inlineStr">
        <is>
          <t>Staff SE</t>
        </is>
      </c>
      <c r="E42" s="62" t="inlineStr">
        <is>
          <t>UK</t>
        </is>
      </c>
      <c r="F42" s="63" t="n">
        <v>128986</v>
      </c>
      <c r="G42" s="63" t="n">
        <v>205285</v>
      </c>
      <c r="H42" s="62" t="inlineStr">
        <is>
          <t>Product</t>
        </is>
      </c>
      <c r="I42" s="77" t="inlineStr">
        <is>
          <t>None</t>
        </is>
      </c>
      <c r="J42" s="79" t="n">
        <v>0</v>
      </c>
      <c r="K42" s="78" t="inlineStr">
        <is>
          <t>N/A</t>
        </is>
      </c>
      <c r="L42" s="78" t="inlineStr">
        <is>
          <t>—</t>
        </is>
      </c>
      <c r="M42" s="68">
        <f>IF(J42=0,0,F42*J42/52)</f>
        <v/>
      </c>
      <c r="N42" s="68">
        <f>IF(OR(I42="None",I42="None (protected)"),0,G42/52)</f>
        <v/>
      </c>
      <c r="O42" s="69">
        <f>IF(OR(K42="Spread",K42="spread"),ROUNDUP(J42/5,0),IF(K42="Czech-Notice",22,0))</f>
        <v/>
      </c>
      <c r="P42" s="69">
        <f>O42+1</f>
        <v/>
      </c>
      <c r="Q42" s="35">
        <f>IF(OR(I42="None",I42="None (protected)"),"N/A",IF(K42="Czech-Notice","No (Czech notice runs to Oct)",IF(J42&lt;=5,"YES — helps July",IF(J42&lt;=8,"Partial — late July only","No — paid through mid-Aug+"))))</f>
        <v/>
      </c>
      <c r="R42" s="70">
        <f>IF(OR(I42="None",I42="None (protected)"),0,IF(K42="Czech-Notice",0,IF(K42="Lump",4*N42-M42,MAX(0,(11-O42))*N42)))</f>
        <v/>
      </c>
    </row>
    <row r="43" ht="15.75" customHeight="1" s="121">
      <c r="B43" s="72" t="n">
        <v>26</v>
      </c>
      <c r="C43" s="37" t="inlineStr">
        <is>
          <t>Gail Chua</t>
        </is>
      </c>
      <c r="D43" s="76" t="inlineStr">
        <is>
          <t>Sr QA Specialist</t>
        </is>
      </c>
      <c r="E43" s="72" t="inlineStr">
        <is>
          <t>CA</t>
        </is>
      </c>
      <c r="F43" s="74" t="n">
        <v>81551</v>
      </c>
      <c r="G43" s="74" t="n">
        <v>107751</v>
      </c>
      <c r="H43" s="72" t="inlineStr">
        <is>
          <t>Product</t>
        </is>
      </c>
      <c r="I43" s="77" t="inlineStr">
        <is>
          <t>None</t>
        </is>
      </c>
      <c r="J43" s="79" t="n">
        <v>0</v>
      </c>
      <c r="K43" s="78" t="inlineStr">
        <is>
          <t>N/A</t>
        </is>
      </c>
      <c r="L43" s="78" t="inlineStr">
        <is>
          <t>—</t>
        </is>
      </c>
      <c r="M43" s="68">
        <f>IF(J43=0,0,F43*J43/52)</f>
        <v/>
      </c>
      <c r="N43" s="68">
        <f>IF(OR(I43="None",I43="None (protected)"),0,G43/52)</f>
        <v/>
      </c>
      <c r="O43" s="69">
        <f>IF(OR(K43="Spread",K43="spread"),ROUNDUP(J43/5,0),IF(K43="Czech-Notice",22,0))</f>
        <v/>
      </c>
      <c r="P43" s="69">
        <f>O43+1</f>
        <v/>
      </c>
      <c r="Q43" s="35">
        <f>IF(OR(I43="None",I43="None (protected)"),"N/A",IF(K43="Czech-Notice","No (Czech notice runs to Oct)",IF(J43&lt;=5,"YES — helps July",IF(J43&lt;=8,"Partial — late July only","No — paid through mid-Aug+"))))</f>
        <v/>
      </c>
      <c r="R43" s="70">
        <f>IF(OR(I43="None",I43="None (protected)"),0,IF(K43="Czech-Notice",0,IF(K43="Lump",4*N43-M43,MAX(0,(11-O43))*N43)))</f>
        <v/>
      </c>
    </row>
    <row r="44" ht="15.75" customHeight="1" s="121">
      <c r="B44" s="72" t="n">
        <v>38</v>
      </c>
      <c r="C44" s="37" t="inlineStr">
        <is>
          <t>Anthony Fabiani</t>
        </is>
      </c>
      <c r="D44" s="76" t="inlineStr">
        <is>
          <t>L3 Support Engineer</t>
        </is>
      </c>
      <c r="E44" s="72" t="inlineStr">
        <is>
          <t>US</t>
        </is>
      </c>
      <c r="F44" s="74" t="n">
        <v>100000</v>
      </c>
      <c r="G44" s="74" t="n">
        <v>130250</v>
      </c>
      <c r="H44" s="72" t="inlineStr">
        <is>
          <t>Support</t>
        </is>
      </c>
      <c r="I44" s="77" t="inlineStr">
        <is>
          <t>None</t>
        </is>
      </c>
      <c r="J44" s="79" t="n">
        <v>0</v>
      </c>
      <c r="K44" s="78" t="inlineStr">
        <is>
          <t>N/A</t>
        </is>
      </c>
      <c r="L44" s="78" t="inlineStr">
        <is>
          <t>—</t>
        </is>
      </c>
      <c r="M44" s="68">
        <f>IF(J44=0,0,F44*J44/52)</f>
        <v/>
      </c>
      <c r="N44" s="68">
        <f>IF(OR(I44="None",I44="None (protected)"),0,G44/52)</f>
        <v/>
      </c>
      <c r="O44" s="69">
        <f>IF(OR(K44="Spread",K44="spread"),ROUNDUP(J44/5,0),IF(K44="Czech-Notice",22,0))</f>
        <v/>
      </c>
      <c r="P44" s="69">
        <f>O44+1</f>
        <v/>
      </c>
      <c r="Q44" s="35">
        <f>IF(OR(I44="None",I44="None (protected)"),"N/A",IF(K44="Czech-Notice","No (Czech notice runs to Oct)",IF(J44&lt;=5,"YES — helps July",IF(J44&lt;=8,"Partial — late July only","No — paid through mid-Aug+"))))</f>
        <v/>
      </c>
      <c r="R44" s="70">
        <f>IF(OR(I44="None",I44="None (protected)"),0,IF(K44="Czech-Notice",0,IF(K44="Lump",4*N44-M44,MAX(0,(11-O44))*N44)))</f>
        <v/>
      </c>
    </row>
    <row r="45" ht="15.75" customHeight="1" s="121">
      <c r="B45" s="62" t="n">
        <v>39</v>
      </c>
      <c r="C45" s="35" t="inlineStr">
        <is>
          <t>Timma Wilson</t>
        </is>
      </c>
      <c r="D45" s="51" t="inlineStr">
        <is>
          <t>Client Support Engineer</t>
        </is>
      </c>
      <c r="E45" s="62" t="inlineStr">
        <is>
          <t>US</t>
        </is>
      </c>
      <c r="F45" s="63" t="n">
        <v>81557</v>
      </c>
      <c r="G45" s="63" t="n">
        <v>99674</v>
      </c>
      <c r="H45" s="62" t="inlineStr">
        <is>
          <t>Support</t>
        </is>
      </c>
      <c r="I45" s="77" t="inlineStr">
        <is>
          <t>None</t>
        </is>
      </c>
      <c r="J45" s="79" t="n">
        <v>0</v>
      </c>
      <c r="K45" s="78" t="inlineStr">
        <is>
          <t>N/A</t>
        </is>
      </c>
      <c r="L45" s="78" t="inlineStr">
        <is>
          <t>—</t>
        </is>
      </c>
      <c r="M45" s="68">
        <f>IF(J45=0,0,F45*J45/52)</f>
        <v/>
      </c>
      <c r="N45" s="68">
        <f>IF(OR(I45="None",I45="None (protected)"),0,G45/52)</f>
        <v/>
      </c>
      <c r="O45" s="69">
        <f>IF(OR(K45="Spread",K45="spread"),ROUNDUP(J45/5,0),IF(K45="Czech-Notice",22,0))</f>
        <v/>
      </c>
      <c r="P45" s="69">
        <f>O45+1</f>
        <v/>
      </c>
      <c r="Q45" s="35">
        <f>IF(OR(I45="None",I45="None (protected)"),"N/A",IF(K45="Czech-Notice","No (Czech notice runs to Oct)",IF(J45&lt;=5,"YES — helps July",IF(J45&lt;=8,"Partial — late July only","No — paid through mid-Aug+"))))</f>
        <v/>
      </c>
      <c r="R45" s="70">
        <f>IF(OR(I45="None",I45="None (protected)"),0,IF(K45="Czech-Notice",0,IF(K45="Lump",4*N45-M45,MAX(0,(11-O45))*N45)))</f>
        <v/>
      </c>
    </row>
    <row r="46" ht="15.75" customHeight="1" s="121"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58" t="n"/>
      <c r="R46" s="27" t="n"/>
    </row>
    <row r="47" ht="6" customHeight="1" s="121"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58" t="n"/>
      <c r="R47" s="27" t="n"/>
    </row>
    <row r="48" ht="15.75" customHeight="1" s="121">
      <c r="C48" s="80" t="inlineStr">
        <is>
          <t>TOTALS BY TRANCHE</t>
        </is>
      </c>
      <c r="D48" s="81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3" t="n"/>
      <c r="R48" s="27" t="n"/>
    </row>
    <row r="49" ht="15.75" customHeight="1" s="121">
      <c r="C49" s="89" t="inlineStr">
        <is>
          <t>T1</t>
        </is>
      </c>
      <c r="D49" s="85">
        <f>COUNTIF(I5:I45,"T1")</f>
        <v/>
      </c>
      <c r="E49" s="86" t="n"/>
      <c r="F49" s="86" t="n"/>
      <c r="G49" s="86" t="n"/>
      <c r="H49" s="86" t="n"/>
      <c r="I49" s="86" t="n"/>
      <c r="J49" s="86" t="n"/>
      <c r="K49" s="86" t="n"/>
      <c r="L49" s="86" t="n"/>
      <c r="M49" s="87">
        <f>SUMIF(I5:I45,"T1",M5:M45)</f>
        <v/>
      </c>
      <c r="N49" s="87">
        <f>SUMIF(I5:I45,"T1",N5:N45)*52</f>
        <v/>
      </c>
      <c r="O49" s="86" t="n"/>
      <c r="P49" s="86" t="n"/>
      <c r="Q49" s="88" t="n"/>
      <c r="R49" s="87">
        <f>SUMIF(I5:I45,"T1",R5:R45)</f>
        <v/>
      </c>
    </row>
    <row r="50" ht="15.75" customHeight="1" s="121">
      <c r="C50" s="89" t="inlineStr">
        <is>
          <t>T2</t>
        </is>
      </c>
      <c r="D50" s="85">
        <f>COUNTIF(I6:I46,"T1")</f>
        <v/>
      </c>
      <c r="E50" s="86" t="n"/>
      <c r="F50" s="86" t="n"/>
      <c r="G50" s="86" t="n"/>
      <c r="H50" s="86" t="n"/>
      <c r="I50" s="86" t="n"/>
      <c r="J50" s="86" t="n"/>
      <c r="K50" s="86" t="n"/>
      <c r="L50" s="86" t="n"/>
      <c r="M50" s="87">
        <f>SUMIF(I5:I45,"T2",M5:M45)</f>
        <v/>
      </c>
      <c r="N50" s="87">
        <f>SUMIF(I5:I45,"T2",N5:N45)*52</f>
        <v/>
      </c>
      <c r="O50" s="86" t="n"/>
      <c r="P50" s="86" t="n"/>
      <c r="Q50" s="88" t="n"/>
      <c r="R50" s="87">
        <f>SUMIF(I5:I45,"T2",R5:R45)</f>
        <v/>
      </c>
    </row>
    <row r="51" ht="15.75" customHeight="1" s="121">
      <c r="C51" s="89" t="inlineStr">
        <is>
          <t>T3</t>
        </is>
      </c>
      <c r="D51" s="85">
        <f>COUNTIF(I7:I47,"T1")</f>
        <v/>
      </c>
      <c r="E51" s="86" t="n"/>
      <c r="F51" s="86" t="n"/>
      <c r="G51" s="86" t="n"/>
      <c r="H51" s="86" t="n"/>
      <c r="I51" s="86" t="n"/>
      <c r="J51" s="86" t="n"/>
      <c r="K51" s="86" t="n"/>
      <c r="L51" s="86" t="n"/>
      <c r="M51" s="87">
        <f>SUMIF(I5:I45,"T3",M5:M45)</f>
        <v/>
      </c>
      <c r="N51" s="87">
        <f>SUMIF(I5:I45,"T3",N5:N45)*52</f>
        <v/>
      </c>
      <c r="O51" s="86" t="n"/>
      <c r="P51" s="86" t="n"/>
      <c r="Q51" s="88" t="n"/>
      <c r="R51" s="87">
        <f>SUMIF(I5:I45,"T3",R5:R45)</f>
        <v/>
      </c>
    </row>
    <row r="52" ht="15.75" customHeight="1" s="121">
      <c r="C52" s="89" t="inlineStr">
        <is>
          <t>T4</t>
        </is>
      </c>
      <c r="D52" s="85">
        <f>COUNTIF(I8:I48,"T1")</f>
        <v/>
      </c>
      <c r="E52" s="86" t="n"/>
      <c r="F52" s="86" t="n"/>
      <c r="G52" s="86" t="n"/>
      <c r="H52" s="86" t="n"/>
      <c r="I52" s="86" t="n"/>
      <c r="J52" s="86" t="n"/>
      <c r="K52" s="86" t="n"/>
      <c r="L52" s="86" t="n"/>
      <c r="M52" s="87">
        <f>SUMIF(I5:I45,"T4",M5:M45)</f>
        <v/>
      </c>
      <c r="N52" s="87">
        <f>SUMIF(I5:I45,"T4",N5:N45)*52</f>
        <v/>
      </c>
      <c r="O52" s="86" t="n"/>
      <c r="P52" s="86" t="n"/>
      <c r="Q52" s="88" t="n"/>
      <c r="R52" s="87">
        <f>SUMIF(I18:I45,"T4",R18:R45)</f>
        <v/>
      </c>
    </row>
    <row r="53" ht="15.75" customHeight="1" s="121"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58" t="n"/>
      <c r="R53" s="27" t="n"/>
    </row>
    <row r="54" ht="15.75" customHeight="1" s="121"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58" t="n"/>
      <c r="R54" s="27" t="n"/>
    </row>
    <row r="55" ht="21.75" customHeight="1" s="121">
      <c r="B55" s="137" t="inlineStr">
        <is>
          <t>NOTES</t>
        </is>
      </c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4" t="n"/>
      <c r="R55" s="27" t="n"/>
    </row>
    <row r="56" ht="18" customHeight="1" s="121">
      <c r="B56" s="92" t="inlineStr">
        <is>
          <t>• Each person can be in EXACTLY ONE tranche. The dropdown forces this — no double counting.</t>
        </is>
      </c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4" t="n"/>
      <c r="R56" s="27" t="n"/>
    </row>
    <row r="57" ht="18" customHeight="1" s="121">
      <c r="B57" s="92" t="inlineStr">
        <is>
          <t>• Protected employees (CEO, CFO, Russell, key product/CS) cannot be cut. Their tranche is fixed to 'None (protected)'.</t>
        </is>
      </c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4" t="n"/>
      <c r="R57" s="27" t="n"/>
    </row>
    <row r="58" ht="18" customHeight="1" s="121">
      <c r="B58" s="92" t="inlineStr">
        <is>
          <t>• Severance Weeks: editable per person. CFO range = 2-12 weeks based on tenure and seniority.</t>
        </is>
      </c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4" t="n"/>
      <c r="R58" s="27" t="n"/>
    </row>
    <row r="59" ht="18" customHeight="1" s="121">
      <c r="B59" s="92" t="inlineStr">
        <is>
          <t>• Mode = Spread: person stays on payroll for W weeks, no immediate cash impact, savings begin after.</t>
        </is>
      </c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4" t="n"/>
      <c r="R59" s="27" t="n"/>
    </row>
    <row r="60" ht="18" customHeight="1" s="121">
      <c r="B60" s="92" t="inlineStr">
        <is>
          <t>• Mode = Lump: severance paid at termination as single outflow, savings begin next week.</t>
        </is>
      </c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4" t="n"/>
      <c r="R60" s="27" t="n"/>
    </row>
    <row r="61" ht="18" customHeight="1" s="121">
      <c r="B61" s="92" t="inlineStr">
        <is>
          <t>• Mode = Czech-Notice: 5-month notice already in baseline payroll; severance lump paid at end of notice (Oct 31).</t>
        </is>
      </c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4" t="n"/>
      <c r="R61" s="27" t="n"/>
    </row>
    <row r="62" ht="18" customHeight="1" s="121">
      <c r="B62" s="92" t="inlineStr">
        <is>
          <t>• 'Cut by June 1?' column flags whether termination + severance will end before mid-July (the trough).</t>
        </is>
      </c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4" t="n"/>
      <c r="R62" s="27" t="n"/>
    </row>
    <row r="63" ht="18" customHeight="1" s="121">
      <c r="B63" s="92" t="inlineStr">
        <is>
          <t>• 'July Impact $' = approximate cash benefit from this cut realized during the July trough weeks specifically.</t>
        </is>
      </c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4" t="n"/>
      <c r="R63" s="27" t="n"/>
    </row>
    <row r="64" ht="18" customHeight="1" s="121">
      <c r="B64" s="92" t="inlineStr">
        <is>
          <t>• If a person has Tranche='None', they are NOT cut. To cut them in T4, change their Tranche to T4.</t>
        </is>
      </c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4" t="n"/>
      <c r="R64" s="27" t="n"/>
    </row>
    <row r="65" ht="15.75" customHeight="1" s="121"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58" t="n"/>
      <c r="R65" s="27" t="n"/>
    </row>
    <row r="66" ht="15.75" customHeight="1" s="121"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58" t="n"/>
      <c r="R66" s="27" t="n"/>
    </row>
    <row r="67" ht="15.75" customHeight="1" s="121"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58" t="n"/>
      <c r="R67" s="27" t="n"/>
    </row>
    <row r="68" ht="15.75" customHeight="1" s="121"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58" t="n"/>
      <c r="R68" s="27" t="n"/>
    </row>
    <row r="69" ht="15.75" customHeight="1" s="121"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58" t="n"/>
      <c r="R69" s="27" t="n"/>
    </row>
    <row r="70" ht="15.75" customHeight="1" s="121"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58" t="n"/>
      <c r="R70" s="27" t="n"/>
    </row>
    <row r="71" ht="15.75" customHeight="1" s="121"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58" t="n"/>
      <c r="R71" s="27" t="n"/>
    </row>
    <row r="72" ht="15.75" customHeight="1" s="121"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58" t="n"/>
      <c r="R72" s="27" t="n"/>
    </row>
    <row r="73" ht="15.75" customHeight="1" s="121"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58" t="n"/>
      <c r="R73" s="27" t="n"/>
    </row>
    <row r="74" ht="15.75" customHeight="1" s="121"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58" t="n"/>
      <c r="R74" s="27" t="n"/>
    </row>
    <row r="75" ht="15.75" customHeight="1" s="121"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58" t="n"/>
      <c r="R75" s="27" t="n"/>
    </row>
    <row r="76" ht="15.75" customHeight="1" s="121"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58" t="n"/>
      <c r="R76" s="27" t="n"/>
    </row>
    <row r="77" ht="15.75" customHeight="1" s="121"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58" t="n"/>
      <c r="R77" s="27" t="n"/>
    </row>
    <row r="78" ht="15.75" customHeight="1" s="121"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58" t="n"/>
      <c r="R78" s="27" t="n"/>
    </row>
    <row r="79" ht="15.75" customHeight="1" s="121"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58" t="n"/>
      <c r="R79" s="27" t="n"/>
    </row>
    <row r="80" ht="15.75" customHeight="1" s="121"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58" t="n"/>
      <c r="R80" s="27" t="n"/>
    </row>
    <row r="81" ht="15.75" customHeight="1" s="121"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58" t="n"/>
      <c r="R81" s="27" t="n"/>
    </row>
    <row r="82" ht="15.75" customHeight="1" s="121"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58" t="n"/>
      <c r="R82" s="27" t="n"/>
    </row>
    <row r="83" ht="15.75" customHeight="1" s="121"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58" t="n"/>
      <c r="R83" s="27" t="n"/>
    </row>
    <row r="84" ht="15.75" customHeight="1" s="121"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58" t="n"/>
      <c r="R84" s="27" t="n"/>
    </row>
    <row r="85" ht="15.75" customHeight="1" s="121"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58" t="n"/>
      <c r="R85" s="27" t="n"/>
    </row>
    <row r="86" ht="15.75" customHeight="1" s="121"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58" t="n"/>
      <c r="R86" s="27" t="n"/>
    </row>
    <row r="87" ht="15.75" customHeight="1" s="121"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58" t="n"/>
      <c r="R87" s="27" t="n"/>
    </row>
    <row r="88" ht="15.75" customHeight="1" s="121"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58" t="n"/>
      <c r="R88" s="27" t="n"/>
    </row>
    <row r="89" ht="15.75" customHeight="1" s="121"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58" t="n"/>
      <c r="R89" s="27" t="n"/>
    </row>
    <row r="90" ht="15.75" customHeight="1" s="121"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58" t="n"/>
      <c r="R90" s="27" t="n"/>
    </row>
    <row r="91" ht="15.75" customHeight="1" s="121"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58" t="n"/>
      <c r="R91" s="27" t="n"/>
    </row>
    <row r="92" ht="15.75" customHeight="1" s="121"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58" t="n"/>
      <c r="R92" s="27" t="n"/>
    </row>
    <row r="93" ht="15.75" customHeight="1" s="121"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58" t="n"/>
      <c r="R93" s="27" t="n"/>
    </row>
    <row r="94" ht="15.75" customHeight="1" s="121"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58" t="n"/>
      <c r="R94" s="27" t="n"/>
    </row>
    <row r="95" ht="15.75" customHeight="1" s="121"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58" t="n"/>
      <c r="R95" s="27" t="n"/>
    </row>
    <row r="96" ht="15.75" customHeight="1" s="121"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58" t="n"/>
      <c r="R96" s="27" t="n"/>
    </row>
    <row r="97" ht="15.75" customHeight="1" s="121"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58" t="n"/>
      <c r="R97" s="27" t="n"/>
    </row>
    <row r="98" ht="15.75" customHeight="1" s="121"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58" t="n"/>
      <c r="R98" s="27" t="n"/>
    </row>
    <row r="99" ht="15.75" customHeight="1" s="121"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58" t="n"/>
      <c r="R99" s="27" t="n"/>
    </row>
    <row r="100" ht="15.75" customHeight="1" s="121"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58" t="n"/>
      <c r="R100" s="27" t="n"/>
    </row>
    <row r="101" ht="15.75" customHeight="1" s="121"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58" t="n"/>
      <c r="R101" s="27" t="n"/>
    </row>
    <row r="102" ht="15.75" customHeight="1" s="121"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58" t="n"/>
      <c r="R102" s="27" t="n"/>
    </row>
    <row r="103" ht="15.75" customHeight="1" s="121"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58" t="n"/>
      <c r="R103" s="27" t="n"/>
    </row>
    <row r="104" ht="15.75" customHeight="1" s="121"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58" t="n"/>
      <c r="R104" s="27" t="n"/>
    </row>
    <row r="105" ht="15.75" customHeight="1" s="121"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58" t="n"/>
      <c r="R105" s="27" t="n"/>
    </row>
    <row r="106" ht="15.75" customHeight="1" s="121"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58" t="n"/>
      <c r="R106" s="27" t="n"/>
    </row>
    <row r="107" ht="15.75" customHeight="1" s="121"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58" t="n"/>
      <c r="R107" s="27" t="n"/>
    </row>
    <row r="108" ht="15.75" customHeight="1" s="121"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58" t="n"/>
      <c r="R108" s="27" t="n"/>
    </row>
    <row r="109" ht="15.75" customHeight="1" s="121"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58" t="n"/>
      <c r="R109" s="27" t="n"/>
    </row>
    <row r="110" ht="15.75" customHeight="1" s="121"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58" t="n"/>
      <c r="R110" s="27" t="n"/>
    </row>
    <row r="111" ht="15.75" customHeight="1" s="121"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58" t="n"/>
      <c r="R111" s="27" t="n"/>
    </row>
    <row r="112" ht="15.75" customHeight="1" s="121"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58" t="n"/>
      <c r="R112" s="27" t="n"/>
    </row>
    <row r="113" ht="15.75" customHeight="1" s="121"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58" t="n"/>
      <c r="R113" s="27" t="n"/>
    </row>
    <row r="114" ht="15.75" customHeight="1" s="121"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58" t="n"/>
      <c r="R114" s="27" t="n"/>
    </row>
    <row r="115" ht="15.75" customHeight="1" s="121"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58" t="n"/>
      <c r="R115" s="27" t="n"/>
    </row>
    <row r="116" ht="15.75" customHeight="1" s="121"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58" t="n"/>
      <c r="R116" s="27" t="n"/>
    </row>
    <row r="117" ht="15.75" customHeight="1" s="121"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58" t="n"/>
      <c r="R117" s="27" t="n"/>
    </row>
    <row r="118" ht="15.75" customHeight="1" s="121"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58" t="n"/>
      <c r="R118" s="27" t="n"/>
    </row>
    <row r="119" ht="15.75" customHeight="1" s="121"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58" t="n"/>
      <c r="R119" s="27" t="n"/>
    </row>
    <row r="120" ht="15.75" customHeight="1" s="121"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58" t="n"/>
      <c r="R120" s="27" t="n"/>
    </row>
    <row r="121" ht="15.75" customHeight="1" s="121"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58" t="n"/>
      <c r="R121" s="27" t="n"/>
    </row>
    <row r="122" ht="15.75" customHeight="1" s="121"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58" t="n"/>
      <c r="R122" s="27" t="n"/>
    </row>
    <row r="123" ht="15.75" customHeight="1" s="121"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58" t="n"/>
      <c r="R123" s="27" t="n"/>
    </row>
    <row r="124" ht="15.75" customHeight="1" s="121"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58" t="n"/>
      <c r="R124" s="27" t="n"/>
    </row>
    <row r="125" ht="15.75" customHeight="1" s="121"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58" t="n"/>
      <c r="R125" s="27" t="n"/>
    </row>
    <row r="126" ht="15.75" customHeight="1" s="121"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58" t="n"/>
      <c r="R126" s="27" t="n"/>
    </row>
    <row r="127" ht="15.75" customHeight="1" s="121"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58" t="n"/>
      <c r="R127" s="27" t="n"/>
    </row>
    <row r="128" ht="15.75" customHeight="1" s="121"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58" t="n"/>
      <c r="R128" s="27" t="n"/>
    </row>
    <row r="129" ht="15.75" customHeight="1" s="121"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58" t="n"/>
      <c r="R129" s="27" t="n"/>
    </row>
    <row r="130" ht="15.75" customHeight="1" s="121"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58" t="n"/>
      <c r="R130" s="27" t="n"/>
    </row>
    <row r="131" ht="15.75" customHeight="1" s="121"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58" t="n"/>
      <c r="R131" s="27" t="n"/>
    </row>
    <row r="132" ht="15.75" customHeight="1" s="121"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58" t="n"/>
      <c r="R132" s="27" t="n"/>
    </row>
    <row r="133" ht="15.75" customHeight="1" s="121"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58" t="n"/>
      <c r="R133" s="27" t="n"/>
    </row>
    <row r="134" ht="15.75" customHeight="1" s="121"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58" t="n"/>
      <c r="R134" s="27" t="n"/>
    </row>
    <row r="135" ht="15.75" customHeight="1" s="121"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58" t="n"/>
      <c r="R135" s="27" t="n"/>
    </row>
    <row r="136" ht="15.75" customHeight="1" s="121"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58" t="n"/>
      <c r="R136" s="27" t="n"/>
    </row>
    <row r="137" ht="15.75" customHeight="1" s="121"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58" t="n"/>
      <c r="R137" s="27" t="n"/>
    </row>
    <row r="138" ht="15.75" customHeight="1" s="121"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58" t="n"/>
      <c r="R138" s="27" t="n"/>
    </row>
    <row r="139" ht="15.75" customHeight="1" s="121"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58" t="n"/>
      <c r="R139" s="27" t="n"/>
    </row>
    <row r="140" ht="15.75" customHeight="1" s="121"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58" t="n"/>
      <c r="R140" s="27" t="n"/>
    </row>
    <row r="141" ht="15.75" customHeight="1" s="121"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58" t="n"/>
      <c r="R141" s="27" t="n"/>
    </row>
    <row r="142" ht="15.75" customHeight="1" s="121"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58" t="n"/>
      <c r="R142" s="27" t="n"/>
    </row>
    <row r="143" ht="15.75" customHeight="1" s="121"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58" t="n"/>
      <c r="R143" s="27" t="n"/>
    </row>
    <row r="144" ht="15.75" customHeight="1" s="121"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58" t="n"/>
      <c r="R144" s="27" t="n"/>
    </row>
    <row r="145" ht="15.75" customHeight="1" s="121"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58" t="n"/>
      <c r="R145" s="27" t="n"/>
    </row>
    <row r="146" ht="15.75" customHeight="1" s="121"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58" t="n"/>
      <c r="R146" s="27" t="n"/>
    </row>
    <row r="147" ht="15.75" customHeight="1" s="121"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58" t="n"/>
      <c r="R147" s="27" t="n"/>
    </row>
    <row r="148" ht="15.75" customHeight="1" s="121"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58" t="n"/>
      <c r="R148" s="27" t="n"/>
    </row>
    <row r="149" ht="15.75" customHeight="1" s="121"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58" t="n"/>
      <c r="R149" s="27" t="n"/>
    </row>
    <row r="150" ht="15.75" customHeight="1" s="121"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58" t="n"/>
      <c r="R150" s="27" t="n"/>
    </row>
    <row r="151" ht="15.75" customHeight="1" s="121"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58" t="n"/>
      <c r="R151" s="27" t="n"/>
    </row>
    <row r="152" ht="15.75" customHeight="1" s="121"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58" t="n"/>
      <c r="R152" s="27" t="n"/>
    </row>
    <row r="153" ht="15.75" customHeight="1" s="121"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58" t="n"/>
      <c r="R153" s="27" t="n"/>
    </row>
    <row r="154" ht="15.75" customHeight="1" s="121"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58" t="n"/>
      <c r="R154" s="27" t="n"/>
    </row>
    <row r="155" ht="15.75" customHeight="1" s="121"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58" t="n"/>
      <c r="R155" s="27" t="n"/>
    </row>
    <row r="156" ht="15.75" customHeight="1" s="121"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58" t="n"/>
      <c r="R156" s="27" t="n"/>
    </row>
    <row r="157" ht="15.75" customHeight="1" s="121"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58" t="n"/>
      <c r="R157" s="27" t="n"/>
    </row>
    <row r="158" ht="15.75" customHeight="1" s="121"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58" t="n"/>
      <c r="R158" s="27" t="n"/>
    </row>
    <row r="159" ht="15.75" customHeight="1" s="121"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58" t="n"/>
      <c r="R159" s="27" t="n"/>
    </row>
    <row r="160" ht="15.75" customHeight="1" s="121"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58" t="n"/>
      <c r="R160" s="27" t="n"/>
    </row>
    <row r="161" ht="15.75" customHeight="1" s="121"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58" t="n"/>
      <c r="R161" s="27" t="n"/>
    </row>
    <row r="162" ht="15.75" customHeight="1" s="121"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58" t="n"/>
      <c r="R162" s="27" t="n"/>
    </row>
    <row r="163" ht="15.75" customHeight="1" s="121"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58" t="n"/>
      <c r="R163" s="27" t="n"/>
    </row>
    <row r="164" ht="15.75" customHeight="1" s="121"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58" t="n"/>
      <c r="R164" s="27" t="n"/>
    </row>
    <row r="165" ht="15.75" customHeight="1" s="121"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58" t="n"/>
      <c r="R165" s="27" t="n"/>
    </row>
    <row r="166" ht="15.75" customHeight="1" s="121"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58" t="n"/>
      <c r="R166" s="27" t="n"/>
    </row>
    <row r="167" ht="15.75" customHeight="1" s="121"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58" t="n"/>
      <c r="R167" s="27" t="n"/>
    </row>
    <row r="168" ht="15.75" customHeight="1" s="121"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58" t="n"/>
      <c r="R168" s="27" t="n"/>
    </row>
    <row r="169" ht="15.75" customHeight="1" s="121"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58" t="n"/>
      <c r="R169" s="27" t="n"/>
    </row>
    <row r="170" ht="15.75" customHeight="1" s="121"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58" t="n"/>
      <c r="R170" s="27" t="n"/>
    </row>
    <row r="171" ht="15.75" customHeight="1" s="121"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58" t="n"/>
      <c r="R171" s="27" t="n"/>
    </row>
    <row r="172" ht="15.75" customHeight="1" s="121"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58" t="n"/>
      <c r="R172" s="27" t="n"/>
    </row>
    <row r="173" ht="15.75" customHeight="1" s="121"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58" t="n"/>
      <c r="R173" s="27" t="n"/>
    </row>
    <row r="174" ht="15.75" customHeight="1" s="121"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58" t="n"/>
      <c r="R174" s="27" t="n"/>
    </row>
    <row r="175" ht="15.75" customHeight="1" s="121"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58" t="n"/>
      <c r="R175" s="27" t="n"/>
    </row>
    <row r="176" ht="15.75" customHeight="1" s="121"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58" t="n"/>
      <c r="R176" s="27" t="n"/>
    </row>
    <row r="177" ht="15.75" customHeight="1" s="121"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58" t="n"/>
      <c r="R177" s="27" t="n"/>
    </row>
    <row r="178" ht="15.75" customHeight="1" s="121"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58" t="n"/>
      <c r="R178" s="27" t="n"/>
    </row>
    <row r="179" ht="15.75" customHeight="1" s="121"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58" t="n"/>
      <c r="R179" s="27" t="n"/>
    </row>
    <row r="180" ht="15.75" customHeight="1" s="121"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58" t="n"/>
      <c r="R180" s="27" t="n"/>
    </row>
    <row r="181" ht="15.75" customHeight="1" s="121"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58" t="n"/>
      <c r="R181" s="27" t="n"/>
    </row>
    <row r="182" ht="15.75" customHeight="1" s="121"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58" t="n"/>
      <c r="R182" s="27" t="n"/>
    </row>
    <row r="183" ht="15.75" customHeight="1" s="121"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58" t="n"/>
      <c r="R183" s="27" t="n"/>
    </row>
    <row r="184" ht="15.75" customHeight="1" s="121"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58" t="n"/>
      <c r="R184" s="27" t="n"/>
    </row>
    <row r="185" ht="15.75" customHeight="1" s="121"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58" t="n"/>
      <c r="R185" s="27" t="n"/>
    </row>
    <row r="186" ht="15.75" customHeight="1" s="121"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58" t="n"/>
      <c r="R186" s="27" t="n"/>
    </row>
    <row r="187" ht="15.75" customHeight="1" s="121"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58" t="n"/>
      <c r="R187" s="27" t="n"/>
    </row>
    <row r="188" ht="15.75" customHeight="1" s="121"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58" t="n"/>
      <c r="R188" s="27" t="n"/>
    </row>
    <row r="189" ht="15.75" customHeight="1" s="121"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58" t="n"/>
      <c r="R189" s="27" t="n"/>
    </row>
    <row r="190" ht="15.75" customHeight="1" s="121"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58" t="n"/>
      <c r="R190" s="27" t="n"/>
    </row>
    <row r="191" ht="15.75" customHeight="1" s="121"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58" t="n"/>
      <c r="R191" s="27" t="n"/>
    </row>
    <row r="192" ht="15.75" customHeight="1" s="121"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58" t="n"/>
      <c r="R192" s="27" t="n"/>
    </row>
    <row r="193" ht="15.75" customHeight="1" s="121"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58" t="n"/>
      <c r="R193" s="27" t="n"/>
    </row>
    <row r="194" ht="15.75" customHeight="1" s="121"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58" t="n"/>
      <c r="R194" s="27" t="n"/>
    </row>
    <row r="195" ht="15.75" customHeight="1" s="121"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58" t="n"/>
      <c r="R195" s="27" t="n"/>
    </row>
    <row r="196" ht="15.75" customHeight="1" s="121"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58" t="n"/>
      <c r="R196" s="27" t="n"/>
    </row>
    <row r="197" ht="15.75" customHeight="1" s="121"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58" t="n"/>
      <c r="R197" s="27" t="n"/>
    </row>
    <row r="198" ht="15.75" customHeight="1" s="121"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58" t="n"/>
      <c r="R198" s="27" t="n"/>
    </row>
    <row r="199" ht="15.75" customHeight="1" s="121"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58" t="n"/>
      <c r="R199" s="27" t="n"/>
    </row>
    <row r="200" ht="15.75" customHeight="1" s="121"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58" t="n"/>
      <c r="R200" s="27" t="n"/>
    </row>
    <row r="201" ht="15.75" customHeight="1" s="121"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58" t="n"/>
      <c r="R201" s="27" t="n"/>
    </row>
    <row r="202" ht="15.75" customHeight="1" s="121"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58" t="n"/>
      <c r="R202" s="27" t="n"/>
    </row>
    <row r="203" ht="15.75" customHeight="1" s="121"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58" t="n"/>
      <c r="R203" s="27" t="n"/>
    </row>
    <row r="204" ht="15.75" customHeight="1" s="121"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58" t="n"/>
      <c r="R204" s="27" t="n"/>
    </row>
    <row r="205" ht="15.75" customHeight="1" s="121"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58" t="n"/>
      <c r="R205" s="27" t="n"/>
    </row>
    <row r="206" ht="15.75" customHeight="1" s="121"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58" t="n"/>
      <c r="R206" s="27" t="n"/>
    </row>
    <row r="207" ht="15.75" customHeight="1" s="121"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58" t="n"/>
      <c r="R207" s="27" t="n"/>
    </row>
    <row r="208" ht="15.75" customHeight="1" s="121"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58" t="n"/>
      <c r="R208" s="27" t="n"/>
    </row>
    <row r="209" ht="15.75" customHeight="1" s="121"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58" t="n"/>
      <c r="R209" s="27" t="n"/>
    </row>
    <row r="210" ht="15.75" customHeight="1" s="121"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58" t="n"/>
      <c r="R210" s="27" t="n"/>
    </row>
    <row r="211" ht="15.75" customHeight="1" s="121"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58" t="n"/>
      <c r="R211" s="27" t="n"/>
    </row>
    <row r="212" ht="15.75" customHeight="1" s="121"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58" t="n"/>
      <c r="R212" s="27" t="n"/>
    </row>
    <row r="213" ht="15.75" customHeight="1" s="121"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58" t="n"/>
      <c r="R213" s="27" t="n"/>
    </row>
    <row r="214" ht="15.75" customHeight="1" s="121"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58" t="n"/>
      <c r="R214" s="27" t="n"/>
    </row>
    <row r="215" ht="15.75" customHeight="1" s="121"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58" t="n"/>
      <c r="R215" s="27" t="n"/>
    </row>
    <row r="216" ht="15.75" customHeight="1" s="121"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58" t="n"/>
      <c r="R216" s="27" t="n"/>
    </row>
    <row r="217" ht="15.75" customHeight="1" s="121"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58" t="n"/>
      <c r="R217" s="27" t="n"/>
    </row>
    <row r="218" ht="15.75" customHeight="1" s="121"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58" t="n"/>
      <c r="R218" s="27" t="n"/>
    </row>
    <row r="219" ht="15.75" customHeight="1" s="121"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58" t="n"/>
      <c r="R219" s="27" t="n"/>
    </row>
    <row r="220" ht="15.75" customHeight="1" s="121"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58" t="n"/>
      <c r="R220" s="27" t="n"/>
    </row>
    <row r="221" ht="15.75" customHeight="1" s="121"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58" t="n"/>
      <c r="R221" s="27" t="n"/>
    </row>
    <row r="222" ht="15.75" customHeight="1" s="121"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58" t="n"/>
      <c r="R222" s="27" t="n"/>
    </row>
    <row r="223" ht="15.75" customHeight="1" s="121"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58" t="n"/>
      <c r="R223" s="27" t="n"/>
    </row>
    <row r="224" ht="15.75" customHeight="1" s="121"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58" t="n"/>
      <c r="R224" s="27" t="n"/>
    </row>
    <row r="225" ht="15.75" customHeight="1" s="121"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58" t="n"/>
      <c r="R225" s="27" t="n"/>
    </row>
    <row r="226" ht="15.75" customHeight="1" s="121"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58" t="n"/>
      <c r="R226" s="27" t="n"/>
    </row>
    <row r="227" ht="15.75" customHeight="1" s="121"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58" t="n"/>
      <c r="R227" s="27" t="n"/>
    </row>
    <row r="228" ht="15.75" customHeight="1" s="121"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58" t="n"/>
      <c r="R228" s="27" t="n"/>
    </row>
    <row r="229" ht="15.75" customHeight="1" s="121"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58" t="n"/>
      <c r="R229" s="27" t="n"/>
    </row>
    <row r="230" ht="15.75" customHeight="1" s="121"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58" t="n"/>
      <c r="R230" s="27" t="n"/>
    </row>
    <row r="231" ht="15.75" customHeight="1" s="121"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58" t="n"/>
      <c r="R231" s="27" t="n"/>
    </row>
    <row r="232" ht="15.75" customHeight="1" s="121"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58" t="n"/>
      <c r="R232" s="27" t="n"/>
    </row>
    <row r="233" ht="15.75" customHeight="1" s="121"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58" t="n"/>
      <c r="R233" s="27" t="n"/>
    </row>
    <row r="234" ht="15.75" customHeight="1" s="121"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58" t="n"/>
      <c r="R234" s="27" t="n"/>
    </row>
    <row r="235" ht="15.75" customHeight="1" s="121"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58" t="n"/>
      <c r="R235" s="27" t="n"/>
    </row>
    <row r="236" ht="15.75" customHeight="1" s="121"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58" t="n"/>
      <c r="R236" s="27" t="n"/>
    </row>
    <row r="237" ht="15.75" customHeight="1" s="121"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58" t="n"/>
      <c r="R237" s="27" t="n"/>
    </row>
    <row r="238" ht="15.75" customHeight="1" s="121"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58" t="n"/>
      <c r="R238" s="27" t="n"/>
    </row>
    <row r="239" ht="15.75" customHeight="1" s="121"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58" t="n"/>
      <c r="R239" s="27" t="n"/>
    </row>
    <row r="240" ht="15.75" customHeight="1" s="121"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58" t="n"/>
      <c r="R240" s="27" t="n"/>
    </row>
    <row r="241" ht="15.75" customHeight="1" s="121"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58" t="n"/>
      <c r="R241" s="27" t="n"/>
    </row>
    <row r="242" ht="15.75" customHeight="1" s="121"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58" t="n"/>
      <c r="R242" s="27" t="n"/>
    </row>
    <row r="243" ht="15.75" customHeight="1" s="121"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58" t="n"/>
      <c r="R243" s="27" t="n"/>
    </row>
    <row r="244" ht="15.75" customHeight="1" s="121"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58" t="n"/>
      <c r="R244" s="27" t="n"/>
    </row>
    <row r="245" ht="15.75" customHeight="1" s="121"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58" t="n"/>
      <c r="R245" s="27" t="n"/>
    </row>
    <row r="246" ht="15.75" customHeight="1" s="121"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58" t="n"/>
      <c r="R246" s="27" t="n"/>
    </row>
    <row r="247" ht="15.75" customHeight="1" s="121"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58" t="n"/>
      <c r="R247" s="27" t="n"/>
    </row>
    <row r="248" ht="15.75" customHeight="1" s="121"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58" t="n"/>
      <c r="R248" s="27" t="n"/>
    </row>
    <row r="249" ht="15.75" customHeight="1" s="121"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58" t="n"/>
      <c r="R249" s="27" t="n"/>
    </row>
    <row r="250" ht="15.75" customHeight="1" s="121"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58" t="n"/>
      <c r="R250" s="27" t="n"/>
    </row>
    <row r="251" ht="15.75" customHeight="1" s="121"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58" t="n"/>
      <c r="R251" s="27" t="n"/>
    </row>
    <row r="252" ht="15.75" customHeight="1" s="121"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58" t="n"/>
      <c r="R252" s="27" t="n"/>
    </row>
    <row r="253" ht="15.75" customHeight="1" s="121"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58" t="n"/>
      <c r="R253" s="27" t="n"/>
    </row>
    <row r="254" ht="15.75" customHeight="1" s="121"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58" t="n"/>
      <c r="R254" s="27" t="n"/>
    </row>
    <row r="255" ht="15.75" customHeight="1" s="121"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58" t="n"/>
      <c r="R255" s="27" t="n"/>
    </row>
    <row r="256" ht="15.75" customHeight="1" s="121"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58" t="n"/>
      <c r="R256" s="27" t="n"/>
    </row>
    <row r="257" ht="15.75" customHeight="1" s="121"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58" t="n"/>
      <c r="R257" s="27" t="n"/>
    </row>
    <row r="258" ht="15.75" customHeight="1" s="121"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58" t="n"/>
      <c r="R258" s="27" t="n"/>
    </row>
    <row r="259" ht="15.75" customHeight="1" s="121"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58" t="n"/>
      <c r="R259" s="27" t="n"/>
    </row>
    <row r="260" ht="15.75" customHeight="1" s="121"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58" t="n"/>
      <c r="R260" s="27" t="n"/>
    </row>
    <row r="261" ht="15.75" customHeight="1" s="121"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58" t="n"/>
      <c r="R261" s="27" t="n"/>
    </row>
    <row r="262" ht="15.75" customHeight="1" s="121"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58" t="n"/>
      <c r="R262" s="27" t="n"/>
    </row>
    <row r="263" ht="15.75" customHeight="1" s="121"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58" t="n"/>
      <c r="R263" s="27" t="n"/>
    </row>
    <row r="264" ht="15.75" customHeight="1" s="121"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58" t="n"/>
      <c r="R264" s="27" t="n"/>
    </row>
    <row r="265" ht="15.75" customHeight="1" s="121"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58" t="n"/>
      <c r="R265" s="27" t="n"/>
    </row>
    <row r="266" ht="15.75" customHeight="1" s="121"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58" t="n"/>
      <c r="R266" s="27" t="n"/>
    </row>
    <row r="267" ht="15.75" customHeight="1" s="121"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58" t="n"/>
      <c r="R267" s="27" t="n"/>
    </row>
    <row r="268" ht="15.75" customHeight="1" s="121"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58" t="n"/>
      <c r="R268" s="27" t="n"/>
    </row>
    <row r="269" ht="15.75" customHeight="1" s="121"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58" t="n"/>
      <c r="R269" s="27" t="n"/>
    </row>
    <row r="270" ht="15.75" customHeight="1" s="121"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58" t="n"/>
      <c r="R270" s="27" t="n"/>
    </row>
    <row r="271" ht="15.75" customHeight="1" s="121"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58" t="n"/>
      <c r="R271" s="27" t="n"/>
    </row>
    <row r="272" ht="15.75" customHeight="1" s="121"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58" t="n"/>
      <c r="R272" s="27" t="n"/>
    </row>
    <row r="273" ht="15.75" customHeight="1" s="121"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58" t="n"/>
      <c r="R273" s="27" t="n"/>
    </row>
    <row r="274" ht="15.75" customHeight="1" s="121"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58" t="n"/>
      <c r="R274" s="27" t="n"/>
    </row>
    <row r="275" ht="15.75" customHeight="1" s="121"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58" t="n"/>
      <c r="R275" s="27" t="n"/>
    </row>
    <row r="276" ht="15.75" customHeight="1" s="121"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58" t="n"/>
      <c r="R276" s="27" t="n"/>
    </row>
    <row r="277" ht="15.75" customHeight="1" s="121"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58" t="n"/>
      <c r="R277" s="27" t="n"/>
    </row>
    <row r="278" ht="15.75" customHeight="1" s="121"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58" t="n"/>
      <c r="R278" s="27" t="n"/>
    </row>
    <row r="279" ht="15.75" customHeight="1" s="121"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58" t="n"/>
      <c r="R279" s="27" t="n"/>
    </row>
    <row r="280" ht="15.75" customHeight="1" s="121"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58" t="n"/>
      <c r="R280" s="27" t="n"/>
    </row>
    <row r="281" ht="15.75" customHeight="1" s="121"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58" t="n"/>
      <c r="R281" s="27" t="n"/>
    </row>
    <row r="282" ht="15.75" customHeight="1" s="121"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58" t="n"/>
      <c r="R282" s="27" t="n"/>
    </row>
    <row r="283" ht="15.75" customHeight="1" s="121"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58" t="n"/>
      <c r="R283" s="27" t="n"/>
    </row>
    <row r="284" ht="15.75" customHeight="1" s="121"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58" t="n"/>
      <c r="R284" s="27" t="n"/>
    </row>
    <row r="285" ht="15.75" customHeight="1" s="121"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58" t="n"/>
      <c r="R285" s="27" t="n"/>
    </row>
    <row r="286" ht="15.75" customHeight="1" s="121"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58" t="n"/>
      <c r="R286" s="27" t="n"/>
    </row>
    <row r="287" ht="15.75" customHeight="1" s="121"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58" t="n"/>
      <c r="R287" s="27" t="n"/>
    </row>
    <row r="288" ht="15.75" customHeight="1" s="121"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58" t="n"/>
      <c r="R288" s="27" t="n"/>
    </row>
    <row r="289" ht="15.75" customHeight="1" s="121"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58" t="n"/>
      <c r="R289" s="27" t="n"/>
    </row>
    <row r="290" ht="15.75" customHeight="1" s="121"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58" t="n"/>
      <c r="R290" s="27" t="n"/>
    </row>
    <row r="291" ht="15.75" customHeight="1" s="121"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58" t="n"/>
      <c r="R291" s="27" t="n"/>
    </row>
    <row r="292" ht="15.75" customHeight="1" s="121"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58" t="n"/>
      <c r="R292" s="27" t="n"/>
    </row>
    <row r="293" ht="15.75" customHeight="1" s="121"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58" t="n"/>
      <c r="R293" s="27" t="n"/>
    </row>
    <row r="294" ht="15.75" customHeight="1" s="121"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58" t="n"/>
      <c r="R294" s="27" t="n"/>
    </row>
    <row r="295" ht="15.75" customHeight="1" s="121"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58" t="n"/>
      <c r="R295" s="27" t="n"/>
    </row>
    <row r="296" ht="15.75" customHeight="1" s="121"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58" t="n"/>
      <c r="R296" s="27" t="n"/>
    </row>
    <row r="297" ht="15.75" customHeight="1" s="121"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58" t="n"/>
      <c r="R297" s="27" t="n"/>
    </row>
    <row r="298" ht="15.75" customHeight="1" s="121"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58" t="n"/>
      <c r="R298" s="27" t="n"/>
    </row>
    <row r="299" ht="15.75" customHeight="1" s="121"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58" t="n"/>
      <c r="R299" s="27" t="n"/>
    </row>
    <row r="300" ht="15.75" customHeight="1" s="121"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58" t="n"/>
      <c r="R300" s="27" t="n"/>
    </row>
    <row r="301" ht="15.75" customHeight="1" s="121"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58" t="n"/>
      <c r="R301" s="27" t="n"/>
    </row>
    <row r="302" ht="15.75" customHeight="1" s="121"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58" t="n"/>
      <c r="R302" s="27" t="n"/>
    </row>
    <row r="303" ht="15.75" customHeight="1" s="121"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58" t="n"/>
      <c r="R303" s="27" t="n"/>
    </row>
    <row r="304" ht="15.75" customHeight="1" s="121"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58" t="n"/>
      <c r="R304" s="27" t="n"/>
    </row>
    <row r="305" ht="15.75" customHeight="1" s="121"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58" t="n"/>
      <c r="R305" s="27" t="n"/>
    </row>
    <row r="306" ht="15.75" customHeight="1" s="121"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58" t="n"/>
      <c r="R306" s="27" t="n"/>
    </row>
    <row r="307" ht="15.75" customHeight="1" s="121"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58" t="n"/>
      <c r="R307" s="27" t="n"/>
    </row>
    <row r="308" ht="15.75" customHeight="1" s="121"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58" t="n"/>
      <c r="R308" s="27" t="n"/>
    </row>
    <row r="309" ht="15.75" customHeight="1" s="121"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58" t="n"/>
      <c r="R309" s="27" t="n"/>
    </row>
    <row r="310" ht="15.75" customHeight="1" s="121"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58" t="n"/>
      <c r="R310" s="27" t="n"/>
    </row>
    <row r="311" ht="15.75" customHeight="1" s="121"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58" t="n"/>
      <c r="R311" s="27" t="n"/>
    </row>
    <row r="312" ht="15.75" customHeight="1" s="121"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58" t="n"/>
      <c r="R312" s="27" t="n"/>
    </row>
    <row r="313" ht="15.75" customHeight="1" s="121"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58" t="n"/>
      <c r="R313" s="27" t="n"/>
    </row>
    <row r="314" ht="15.75" customHeight="1" s="121"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58" t="n"/>
      <c r="R314" s="27" t="n"/>
    </row>
    <row r="315" ht="15.75" customHeight="1" s="121"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58" t="n"/>
      <c r="R315" s="27" t="n"/>
    </row>
    <row r="316" ht="15.75" customHeight="1" s="121"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58" t="n"/>
      <c r="R316" s="27" t="n"/>
    </row>
    <row r="317" ht="15.75" customHeight="1" s="121"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58" t="n"/>
      <c r="R317" s="27" t="n"/>
    </row>
    <row r="318" ht="15.75" customHeight="1" s="121"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58" t="n"/>
      <c r="R318" s="27" t="n"/>
    </row>
    <row r="319" ht="15.75" customHeight="1" s="121"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58" t="n"/>
      <c r="R319" s="27" t="n"/>
    </row>
    <row r="320" ht="15.75" customHeight="1" s="121"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58" t="n"/>
      <c r="R320" s="27" t="n"/>
    </row>
    <row r="321" ht="15.75" customHeight="1" s="121"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58" t="n"/>
      <c r="R321" s="27" t="n"/>
    </row>
    <row r="322" ht="15.75" customHeight="1" s="121"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58" t="n"/>
      <c r="R322" s="27" t="n"/>
    </row>
    <row r="323" ht="15.75" customHeight="1" s="121"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58" t="n"/>
      <c r="R323" s="27" t="n"/>
    </row>
    <row r="324" ht="15.75" customHeight="1" s="121"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58" t="n"/>
      <c r="R324" s="27" t="n"/>
    </row>
    <row r="325" ht="15.75" customHeight="1" s="121"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58" t="n"/>
      <c r="R325" s="27" t="n"/>
    </row>
    <row r="326" ht="15.75" customHeight="1" s="121"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58" t="n"/>
      <c r="R326" s="27" t="n"/>
    </row>
    <row r="327" ht="15.75" customHeight="1" s="121"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58" t="n"/>
      <c r="R327" s="27" t="n"/>
    </row>
    <row r="328" ht="15.75" customHeight="1" s="121"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58" t="n"/>
      <c r="R328" s="27" t="n"/>
    </row>
    <row r="329" ht="15.75" customHeight="1" s="121"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58" t="n"/>
      <c r="R329" s="27" t="n"/>
    </row>
    <row r="330" ht="15.75" customHeight="1" s="121"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58" t="n"/>
      <c r="R330" s="27" t="n"/>
    </row>
    <row r="331" ht="15.75" customHeight="1" s="121"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58" t="n"/>
      <c r="R331" s="27" t="n"/>
    </row>
    <row r="332" ht="15.75" customHeight="1" s="121"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58" t="n"/>
      <c r="R332" s="27" t="n"/>
    </row>
    <row r="333" ht="15.75" customHeight="1" s="121"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58" t="n"/>
      <c r="R333" s="27" t="n"/>
    </row>
    <row r="334" ht="15.75" customHeight="1" s="121"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58" t="n"/>
      <c r="R334" s="27" t="n"/>
    </row>
    <row r="335" ht="15.75" customHeight="1" s="121"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58" t="n"/>
      <c r="R335" s="27" t="n"/>
    </row>
    <row r="336" ht="15.75" customHeight="1" s="121"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58" t="n"/>
      <c r="R336" s="27" t="n"/>
    </row>
    <row r="337" ht="15.75" customHeight="1" s="121"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58" t="n"/>
      <c r="R337" s="27" t="n"/>
    </row>
    <row r="338" ht="15.75" customHeight="1" s="121"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58" t="n"/>
      <c r="R338" s="27" t="n"/>
    </row>
    <row r="339" ht="15.75" customHeight="1" s="121"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58" t="n"/>
      <c r="R339" s="27" t="n"/>
    </row>
    <row r="340" ht="15.75" customHeight="1" s="121"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58" t="n"/>
      <c r="R340" s="27" t="n"/>
    </row>
    <row r="341" ht="15.75" customHeight="1" s="121"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58" t="n"/>
      <c r="R341" s="27" t="n"/>
    </row>
    <row r="342" ht="15.75" customHeight="1" s="121"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58" t="n"/>
      <c r="R342" s="27" t="n"/>
    </row>
    <row r="343" ht="15.75" customHeight="1" s="121"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58" t="n"/>
      <c r="R343" s="27" t="n"/>
    </row>
    <row r="344" ht="15.75" customHeight="1" s="121"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58" t="n"/>
      <c r="R344" s="27" t="n"/>
    </row>
    <row r="345" ht="15.75" customHeight="1" s="121"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58" t="n"/>
      <c r="R345" s="27" t="n"/>
    </row>
    <row r="346" ht="15.75" customHeight="1" s="121"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58" t="n"/>
      <c r="R346" s="27" t="n"/>
    </row>
    <row r="347" ht="15.75" customHeight="1" s="121"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58" t="n"/>
      <c r="R347" s="27" t="n"/>
    </row>
    <row r="348" ht="15.75" customHeight="1" s="121"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58" t="n"/>
      <c r="R348" s="27" t="n"/>
    </row>
    <row r="349" ht="15.75" customHeight="1" s="121"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58" t="n"/>
      <c r="R349" s="27" t="n"/>
    </row>
    <row r="350" ht="15.75" customHeight="1" s="121"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58" t="n"/>
      <c r="R350" s="27" t="n"/>
    </row>
    <row r="351" ht="15.75" customHeight="1" s="121"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58" t="n"/>
      <c r="R351" s="27" t="n"/>
    </row>
    <row r="352" ht="15.75" customHeight="1" s="121"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58" t="n"/>
      <c r="R352" s="27" t="n"/>
    </row>
    <row r="353" ht="15.75" customHeight="1" s="121"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58" t="n"/>
      <c r="R353" s="27" t="n"/>
    </row>
    <row r="354" ht="15.75" customHeight="1" s="121"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58" t="n"/>
      <c r="R354" s="27" t="n"/>
    </row>
    <row r="355" ht="15.75" customHeight="1" s="121"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58" t="n"/>
      <c r="R355" s="27" t="n"/>
    </row>
    <row r="356" ht="15.75" customHeight="1" s="121"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58" t="n"/>
      <c r="R356" s="27" t="n"/>
    </row>
    <row r="357" ht="15.75" customHeight="1" s="121"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58" t="n"/>
      <c r="R357" s="27" t="n"/>
    </row>
    <row r="358" ht="15.75" customHeight="1" s="121"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58" t="n"/>
      <c r="R358" s="27" t="n"/>
    </row>
    <row r="359" ht="15.75" customHeight="1" s="121"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58" t="n"/>
      <c r="R359" s="27" t="n"/>
    </row>
    <row r="360" ht="15.75" customHeight="1" s="121"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58" t="n"/>
      <c r="R360" s="27" t="n"/>
    </row>
    <row r="361" ht="15.75" customHeight="1" s="121"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58" t="n"/>
      <c r="R361" s="27" t="n"/>
    </row>
    <row r="362" ht="15.75" customHeight="1" s="121"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58" t="n"/>
      <c r="R362" s="27" t="n"/>
    </row>
    <row r="363" ht="15.75" customHeight="1" s="121"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58" t="n"/>
      <c r="R363" s="27" t="n"/>
    </row>
    <row r="364" ht="15.75" customHeight="1" s="121"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58" t="n"/>
      <c r="R364" s="27" t="n"/>
    </row>
    <row r="365" ht="15.75" customHeight="1" s="121"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58" t="n"/>
      <c r="R365" s="27" t="n"/>
    </row>
    <row r="366" ht="15.75" customHeight="1" s="121"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58" t="n"/>
      <c r="R366" s="27" t="n"/>
    </row>
    <row r="367" ht="15.75" customHeight="1" s="121"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58" t="n"/>
      <c r="R367" s="27" t="n"/>
    </row>
    <row r="368" ht="15.75" customHeight="1" s="121"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58" t="n"/>
      <c r="R368" s="27" t="n"/>
    </row>
    <row r="369" ht="15.75" customHeight="1" s="121"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58" t="n"/>
      <c r="R369" s="27" t="n"/>
    </row>
    <row r="370" ht="15.75" customHeight="1" s="121"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58" t="n"/>
      <c r="R370" s="27" t="n"/>
    </row>
    <row r="371" ht="15.75" customHeight="1" s="121"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58" t="n"/>
      <c r="R371" s="27" t="n"/>
    </row>
    <row r="372" ht="15.75" customHeight="1" s="121"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58" t="n"/>
      <c r="R372" s="27" t="n"/>
    </row>
    <row r="373" ht="15.75" customHeight="1" s="121"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58" t="n"/>
      <c r="R373" s="27" t="n"/>
    </row>
    <row r="374" ht="15.75" customHeight="1" s="121"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58" t="n"/>
      <c r="R374" s="27" t="n"/>
    </row>
    <row r="375" ht="15.75" customHeight="1" s="121"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58" t="n"/>
      <c r="R375" s="27" t="n"/>
    </row>
    <row r="376" ht="15.75" customHeight="1" s="121"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58" t="n"/>
      <c r="R376" s="27" t="n"/>
    </row>
    <row r="377" ht="15.75" customHeight="1" s="121"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58" t="n"/>
      <c r="R377" s="27" t="n"/>
    </row>
    <row r="378" ht="15.75" customHeight="1" s="121"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58" t="n"/>
      <c r="R378" s="27" t="n"/>
    </row>
    <row r="379" ht="15.75" customHeight="1" s="121"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58" t="n"/>
      <c r="R379" s="27" t="n"/>
    </row>
    <row r="380" ht="15.75" customHeight="1" s="121"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58" t="n"/>
      <c r="R380" s="27" t="n"/>
    </row>
    <row r="381" ht="15.75" customHeight="1" s="121"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58" t="n"/>
      <c r="R381" s="27" t="n"/>
    </row>
    <row r="382" ht="15.75" customHeight="1" s="121"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58" t="n"/>
      <c r="R382" s="27" t="n"/>
    </row>
    <row r="383" ht="15.75" customHeight="1" s="121"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58" t="n"/>
      <c r="R383" s="27" t="n"/>
    </row>
    <row r="384" ht="15.75" customHeight="1" s="121"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58" t="n"/>
      <c r="R384" s="27" t="n"/>
    </row>
    <row r="385" ht="15.75" customHeight="1" s="121"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58" t="n"/>
      <c r="R385" s="27" t="n"/>
    </row>
    <row r="386" ht="15.75" customHeight="1" s="121"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58" t="n"/>
      <c r="R386" s="27" t="n"/>
    </row>
    <row r="387" ht="15.75" customHeight="1" s="121"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58" t="n"/>
      <c r="R387" s="27" t="n"/>
    </row>
    <row r="388" ht="15.75" customHeight="1" s="121"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58" t="n"/>
      <c r="R388" s="27" t="n"/>
    </row>
    <row r="389" ht="15.75" customHeight="1" s="121"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58" t="n"/>
      <c r="R389" s="27" t="n"/>
    </row>
    <row r="390" ht="15.75" customHeight="1" s="121"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58" t="n"/>
      <c r="R390" s="27" t="n"/>
    </row>
    <row r="391" ht="15.75" customHeight="1" s="121"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58" t="n"/>
      <c r="R391" s="27" t="n"/>
    </row>
    <row r="392" ht="15.75" customHeight="1" s="121"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58" t="n"/>
      <c r="R392" s="27" t="n"/>
    </row>
    <row r="393" ht="15.75" customHeight="1" s="121"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58" t="n"/>
      <c r="R393" s="27" t="n"/>
    </row>
    <row r="394" ht="15.75" customHeight="1" s="121"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58" t="n"/>
      <c r="R394" s="27" t="n"/>
    </row>
    <row r="395" ht="15.75" customHeight="1" s="121"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58" t="n"/>
      <c r="R395" s="27" t="n"/>
    </row>
    <row r="396" ht="15.75" customHeight="1" s="121"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58" t="n"/>
      <c r="R396" s="27" t="n"/>
    </row>
    <row r="397" ht="15.75" customHeight="1" s="121"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58" t="n"/>
      <c r="R397" s="27" t="n"/>
    </row>
    <row r="398" ht="15.75" customHeight="1" s="121"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58" t="n"/>
      <c r="R398" s="27" t="n"/>
    </row>
    <row r="399" ht="15.75" customHeight="1" s="121"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58" t="n"/>
      <c r="R399" s="27" t="n"/>
    </row>
    <row r="400" ht="15.75" customHeight="1" s="121"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58" t="n"/>
      <c r="R400" s="27" t="n"/>
    </row>
    <row r="401" ht="15.75" customHeight="1" s="121"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58" t="n"/>
      <c r="R401" s="27" t="n"/>
    </row>
    <row r="402" ht="15.75" customHeight="1" s="121"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58" t="n"/>
      <c r="R402" s="27" t="n"/>
    </row>
    <row r="403" ht="15.75" customHeight="1" s="121"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58" t="n"/>
      <c r="R403" s="27" t="n"/>
    </row>
    <row r="404" ht="15.75" customHeight="1" s="121"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58" t="n"/>
      <c r="R404" s="27" t="n"/>
    </row>
    <row r="405" ht="15.75" customHeight="1" s="121"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58" t="n"/>
      <c r="R405" s="27" t="n"/>
    </row>
    <row r="406" ht="15.75" customHeight="1" s="121"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58" t="n"/>
      <c r="R406" s="27" t="n"/>
    </row>
    <row r="407" ht="15.75" customHeight="1" s="121"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58" t="n"/>
      <c r="R407" s="27" t="n"/>
    </row>
    <row r="408" ht="15.75" customHeight="1" s="121"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58" t="n"/>
      <c r="R408" s="27" t="n"/>
    </row>
    <row r="409" ht="15.75" customHeight="1" s="121"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58" t="n"/>
      <c r="R409" s="27" t="n"/>
    </row>
    <row r="410" ht="15.75" customHeight="1" s="121"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58" t="n"/>
      <c r="R410" s="27" t="n"/>
    </row>
    <row r="411" ht="15.75" customHeight="1" s="121"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58" t="n"/>
      <c r="R411" s="27" t="n"/>
    </row>
    <row r="412" ht="15.75" customHeight="1" s="121"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58" t="n"/>
      <c r="R412" s="27" t="n"/>
    </row>
    <row r="413" ht="15.75" customHeight="1" s="121"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58" t="n"/>
      <c r="R413" s="27" t="n"/>
    </row>
    <row r="414" ht="15.75" customHeight="1" s="121"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58" t="n"/>
      <c r="R414" s="27" t="n"/>
    </row>
    <row r="415" ht="15.75" customHeight="1" s="121"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58" t="n"/>
      <c r="R415" s="27" t="n"/>
    </row>
    <row r="416" ht="15.75" customHeight="1" s="121"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58" t="n"/>
      <c r="R416" s="27" t="n"/>
    </row>
    <row r="417" ht="15.75" customHeight="1" s="121"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58" t="n"/>
      <c r="R417" s="27" t="n"/>
    </row>
    <row r="418" ht="15.75" customHeight="1" s="121"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58" t="n"/>
      <c r="R418" s="27" t="n"/>
    </row>
    <row r="419" ht="15.75" customHeight="1" s="121"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58" t="n"/>
      <c r="R419" s="27" t="n"/>
    </row>
    <row r="420" ht="15.75" customHeight="1" s="121"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58" t="n"/>
      <c r="R420" s="27" t="n"/>
    </row>
    <row r="421" ht="15.75" customHeight="1" s="121"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58" t="n"/>
      <c r="R421" s="27" t="n"/>
    </row>
    <row r="422" ht="15.75" customHeight="1" s="121"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58" t="n"/>
      <c r="R422" s="27" t="n"/>
    </row>
    <row r="423" ht="15.75" customHeight="1" s="121"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58" t="n"/>
      <c r="R423" s="27" t="n"/>
    </row>
    <row r="424" ht="15.75" customHeight="1" s="121"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58" t="n"/>
      <c r="R424" s="27" t="n"/>
    </row>
    <row r="425" ht="15.75" customHeight="1" s="121"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58" t="n"/>
      <c r="R425" s="27" t="n"/>
    </row>
    <row r="426" ht="15.75" customHeight="1" s="121"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58" t="n"/>
      <c r="R426" s="27" t="n"/>
    </row>
    <row r="427" ht="15.75" customHeight="1" s="121"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58" t="n"/>
      <c r="R427" s="27" t="n"/>
    </row>
    <row r="428" ht="15.75" customHeight="1" s="121"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58" t="n"/>
      <c r="R428" s="27" t="n"/>
    </row>
    <row r="429" ht="15.75" customHeight="1" s="121"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58" t="n"/>
      <c r="R429" s="27" t="n"/>
    </row>
    <row r="430" ht="15.75" customHeight="1" s="121"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58" t="n"/>
      <c r="R430" s="27" t="n"/>
    </row>
    <row r="431" ht="15.75" customHeight="1" s="121"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58" t="n"/>
      <c r="R431" s="27" t="n"/>
    </row>
    <row r="432" ht="15.75" customHeight="1" s="121"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58" t="n"/>
      <c r="R432" s="27" t="n"/>
    </row>
    <row r="433" ht="15.75" customHeight="1" s="121"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58" t="n"/>
      <c r="R433" s="27" t="n"/>
    </row>
    <row r="434" ht="15.75" customHeight="1" s="121"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58" t="n"/>
      <c r="R434" s="27" t="n"/>
    </row>
    <row r="435" ht="15.75" customHeight="1" s="121"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58" t="n"/>
      <c r="R435" s="27" t="n"/>
    </row>
    <row r="436" ht="15.75" customHeight="1" s="121"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58" t="n"/>
      <c r="R436" s="27" t="n"/>
    </row>
    <row r="437" ht="15.75" customHeight="1" s="121"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58" t="n"/>
      <c r="R437" s="27" t="n"/>
    </row>
    <row r="438" ht="15.75" customHeight="1" s="121"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58" t="n"/>
      <c r="R438" s="27" t="n"/>
    </row>
    <row r="439" ht="15.75" customHeight="1" s="121"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58" t="n"/>
      <c r="R439" s="27" t="n"/>
    </row>
    <row r="440" ht="15.75" customHeight="1" s="121"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58" t="n"/>
      <c r="R440" s="27" t="n"/>
    </row>
    <row r="441" ht="15.75" customHeight="1" s="121"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58" t="n"/>
      <c r="R441" s="27" t="n"/>
    </row>
    <row r="442" ht="15.75" customHeight="1" s="121"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58" t="n"/>
      <c r="R442" s="27" t="n"/>
    </row>
    <row r="443" ht="15.75" customHeight="1" s="121"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58" t="n"/>
      <c r="R443" s="27" t="n"/>
    </row>
    <row r="444" ht="15.75" customHeight="1" s="121"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58" t="n"/>
      <c r="R444" s="27" t="n"/>
    </row>
    <row r="445" ht="15.75" customHeight="1" s="121"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58" t="n"/>
      <c r="R445" s="27" t="n"/>
    </row>
    <row r="446" ht="15.75" customHeight="1" s="121"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58" t="n"/>
      <c r="R446" s="27" t="n"/>
    </row>
    <row r="447" ht="15.75" customHeight="1" s="121"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58" t="n"/>
      <c r="R447" s="27" t="n"/>
    </row>
    <row r="448" ht="15.75" customHeight="1" s="121"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58" t="n"/>
      <c r="R448" s="27" t="n"/>
    </row>
    <row r="449" ht="15.75" customHeight="1" s="121"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58" t="n"/>
      <c r="R449" s="27" t="n"/>
    </row>
    <row r="450" ht="15.75" customHeight="1" s="121"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58" t="n"/>
      <c r="R450" s="27" t="n"/>
    </row>
    <row r="451" ht="15.75" customHeight="1" s="121"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58" t="n"/>
      <c r="R451" s="27" t="n"/>
    </row>
    <row r="452" ht="15.75" customHeight="1" s="121"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58" t="n"/>
      <c r="R452" s="27" t="n"/>
    </row>
    <row r="453" ht="15.75" customHeight="1" s="121"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58" t="n"/>
      <c r="R453" s="27" t="n"/>
    </row>
    <row r="454" ht="15.75" customHeight="1" s="121"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58" t="n"/>
      <c r="R454" s="27" t="n"/>
    </row>
    <row r="455" ht="15.75" customHeight="1" s="121"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58" t="n"/>
      <c r="R455" s="27" t="n"/>
    </row>
    <row r="456" ht="15.75" customHeight="1" s="121"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58" t="n"/>
      <c r="R456" s="27" t="n"/>
    </row>
    <row r="457" ht="15.75" customHeight="1" s="121"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58" t="n"/>
      <c r="R457" s="27" t="n"/>
    </row>
    <row r="458" ht="15.75" customHeight="1" s="121"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58" t="n"/>
      <c r="R458" s="27" t="n"/>
    </row>
    <row r="459" ht="15.75" customHeight="1" s="121"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58" t="n"/>
      <c r="R459" s="27" t="n"/>
    </row>
    <row r="460" ht="15.75" customHeight="1" s="121"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58" t="n"/>
      <c r="R460" s="27" t="n"/>
    </row>
    <row r="461" ht="15.75" customHeight="1" s="121"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58" t="n"/>
      <c r="R461" s="27" t="n"/>
    </row>
    <row r="462" ht="15.75" customHeight="1" s="121"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58" t="n"/>
      <c r="R462" s="27" t="n"/>
    </row>
    <row r="463" ht="15.75" customHeight="1" s="121"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58" t="n"/>
      <c r="R463" s="27" t="n"/>
    </row>
    <row r="464" ht="15.75" customHeight="1" s="121"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58" t="n"/>
      <c r="R464" s="27" t="n"/>
    </row>
    <row r="465" ht="15.75" customHeight="1" s="121"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58" t="n"/>
      <c r="R465" s="27" t="n"/>
    </row>
    <row r="466" ht="15.75" customHeight="1" s="121"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58" t="n"/>
      <c r="R466" s="27" t="n"/>
    </row>
    <row r="467" ht="15.75" customHeight="1" s="121"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58" t="n"/>
      <c r="R467" s="27" t="n"/>
    </row>
    <row r="468" ht="15.75" customHeight="1" s="121"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58" t="n"/>
      <c r="R468" s="27" t="n"/>
    </row>
    <row r="469" ht="15.75" customHeight="1" s="121"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58" t="n"/>
      <c r="R469" s="27" t="n"/>
    </row>
    <row r="470" ht="15.75" customHeight="1" s="121"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58" t="n"/>
      <c r="R470" s="27" t="n"/>
    </row>
    <row r="471" ht="15.75" customHeight="1" s="121"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58" t="n"/>
      <c r="R471" s="27" t="n"/>
    </row>
    <row r="472" ht="15.75" customHeight="1" s="121"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58" t="n"/>
      <c r="R472" s="27" t="n"/>
    </row>
    <row r="473" ht="15.75" customHeight="1" s="121"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58" t="n"/>
      <c r="R473" s="27" t="n"/>
    </row>
    <row r="474" ht="15.75" customHeight="1" s="121"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58" t="n"/>
      <c r="R474" s="27" t="n"/>
    </row>
    <row r="475" ht="15.75" customHeight="1" s="121"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58" t="n"/>
      <c r="R475" s="27" t="n"/>
    </row>
    <row r="476" ht="15.75" customHeight="1" s="121"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58" t="n"/>
      <c r="R476" s="27" t="n"/>
    </row>
    <row r="477" ht="15.75" customHeight="1" s="121"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58" t="n"/>
      <c r="R477" s="27" t="n"/>
    </row>
    <row r="478" ht="15.75" customHeight="1" s="121"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58" t="n"/>
      <c r="R478" s="27" t="n"/>
    </row>
    <row r="479" ht="15.75" customHeight="1" s="121"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58" t="n"/>
      <c r="R479" s="27" t="n"/>
    </row>
    <row r="480" ht="15.75" customHeight="1" s="121"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58" t="n"/>
      <c r="R480" s="27" t="n"/>
    </row>
    <row r="481" ht="15.75" customHeight="1" s="121"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58" t="n"/>
      <c r="R481" s="27" t="n"/>
    </row>
    <row r="482" ht="15.75" customHeight="1" s="121"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58" t="n"/>
      <c r="R482" s="27" t="n"/>
    </row>
    <row r="483" ht="15.75" customHeight="1" s="121"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58" t="n"/>
      <c r="R483" s="27" t="n"/>
    </row>
    <row r="484" ht="15.75" customHeight="1" s="121"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58" t="n"/>
      <c r="R484" s="27" t="n"/>
    </row>
    <row r="485" ht="15.75" customHeight="1" s="121"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58" t="n"/>
      <c r="R485" s="27" t="n"/>
    </row>
    <row r="486" ht="15.75" customHeight="1" s="121"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58" t="n"/>
      <c r="R486" s="27" t="n"/>
    </row>
    <row r="487" ht="15.75" customHeight="1" s="121"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58" t="n"/>
      <c r="R487" s="27" t="n"/>
    </row>
    <row r="488" ht="15.75" customHeight="1" s="121"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58" t="n"/>
      <c r="R488" s="27" t="n"/>
    </row>
    <row r="489" ht="15.75" customHeight="1" s="121"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58" t="n"/>
      <c r="R489" s="27" t="n"/>
    </row>
    <row r="490" ht="15.75" customHeight="1" s="121"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58" t="n"/>
      <c r="R490" s="27" t="n"/>
    </row>
    <row r="491" ht="15.75" customHeight="1" s="121"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58" t="n"/>
      <c r="R491" s="27" t="n"/>
    </row>
    <row r="492" ht="15.75" customHeight="1" s="121"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58" t="n"/>
      <c r="R492" s="27" t="n"/>
    </row>
    <row r="493" ht="15.75" customHeight="1" s="121"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58" t="n"/>
      <c r="R493" s="27" t="n"/>
    </row>
    <row r="494" ht="15.75" customHeight="1" s="121"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58" t="n"/>
      <c r="R494" s="27" t="n"/>
    </row>
    <row r="495" ht="15.75" customHeight="1" s="121"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58" t="n"/>
      <c r="R495" s="27" t="n"/>
    </row>
    <row r="496" ht="15.75" customHeight="1" s="121"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58" t="n"/>
      <c r="R496" s="27" t="n"/>
    </row>
    <row r="497" ht="15.75" customHeight="1" s="121"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58" t="n"/>
      <c r="R497" s="27" t="n"/>
    </row>
    <row r="498" ht="15.75" customHeight="1" s="121"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58" t="n"/>
      <c r="R498" s="27" t="n"/>
    </row>
    <row r="499" ht="15.75" customHeight="1" s="121"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58" t="n"/>
      <c r="R499" s="27" t="n"/>
    </row>
    <row r="500" ht="15.75" customHeight="1" s="121"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58" t="n"/>
      <c r="R500" s="27" t="n"/>
    </row>
    <row r="501" ht="15.75" customHeight="1" s="121"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58" t="n"/>
      <c r="R501" s="27" t="n"/>
    </row>
    <row r="502" ht="15.75" customHeight="1" s="121"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58" t="n"/>
      <c r="R502" s="27" t="n"/>
    </row>
    <row r="503" ht="15.75" customHeight="1" s="121"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58" t="n"/>
      <c r="R503" s="27" t="n"/>
    </row>
    <row r="504" ht="15.75" customHeight="1" s="121"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58" t="n"/>
      <c r="R504" s="27" t="n"/>
    </row>
    <row r="505" ht="15.75" customHeight="1" s="121"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58" t="n"/>
      <c r="R505" s="27" t="n"/>
    </row>
    <row r="506" ht="15.75" customHeight="1" s="121"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58" t="n"/>
      <c r="R506" s="27" t="n"/>
    </row>
    <row r="507" ht="15.75" customHeight="1" s="121"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58" t="n"/>
      <c r="R507" s="27" t="n"/>
    </row>
    <row r="508" ht="15.75" customHeight="1" s="121"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58" t="n"/>
      <c r="R508" s="27" t="n"/>
    </row>
    <row r="509" ht="15.75" customHeight="1" s="121"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58" t="n"/>
      <c r="R509" s="27" t="n"/>
    </row>
    <row r="510" ht="15.75" customHeight="1" s="121"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58" t="n"/>
      <c r="R510" s="27" t="n"/>
    </row>
    <row r="511" ht="15.75" customHeight="1" s="121"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58" t="n"/>
      <c r="R511" s="27" t="n"/>
    </row>
    <row r="512" ht="15.75" customHeight="1" s="121"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58" t="n"/>
      <c r="R512" s="27" t="n"/>
    </row>
    <row r="513" ht="15.75" customHeight="1" s="121"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58" t="n"/>
      <c r="R513" s="27" t="n"/>
    </row>
    <row r="514" ht="15.75" customHeight="1" s="121"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58" t="n"/>
      <c r="R514" s="27" t="n"/>
    </row>
    <row r="515" ht="15.75" customHeight="1" s="121"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58" t="n"/>
      <c r="R515" s="27" t="n"/>
    </row>
    <row r="516" ht="15.75" customHeight="1" s="121"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58" t="n"/>
      <c r="R516" s="27" t="n"/>
    </row>
    <row r="517" ht="15.75" customHeight="1" s="121"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58" t="n"/>
      <c r="R517" s="27" t="n"/>
    </row>
    <row r="518" ht="15.75" customHeight="1" s="121"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58" t="n"/>
      <c r="R518" s="27" t="n"/>
    </row>
    <row r="519" ht="15.75" customHeight="1" s="121"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58" t="n"/>
      <c r="R519" s="27" t="n"/>
    </row>
    <row r="520" ht="15.75" customHeight="1" s="121"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58" t="n"/>
      <c r="R520" s="27" t="n"/>
    </row>
    <row r="521" ht="15.75" customHeight="1" s="121"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58" t="n"/>
      <c r="R521" s="27" t="n"/>
    </row>
    <row r="522" ht="15.75" customHeight="1" s="121"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58" t="n"/>
      <c r="R522" s="27" t="n"/>
    </row>
    <row r="523" ht="15.75" customHeight="1" s="121"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58" t="n"/>
      <c r="R523" s="27" t="n"/>
    </row>
    <row r="524" ht="15.75" customHeight="1" s="121"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58" t="n"/>
      <c r="R524" s="27" t="n"/>
    </row>
    <row r="525" ht="15.75" customHeight="1" s="121"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58" t="n"/>
      <c r="R525" s="27" t="n"/>
    </row>
    <row r="526" ht="15.75" customHeight="1" s="121"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58" t="n"/>
      <c r="R526" s="27" t="n"/>
    </row>
    <row r="527" ht="15.75" customHeight="1" s="121"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58" t="n"/>
      <c r="R527" s="27" t="n"/>
    </row>
    <row r="528" ht="15.75" customHeight="1" s="121"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58" t="n"/>
      <c r="R528" s="27" t="n"/>
    </row>
    <row r="529" ht="15.75" customHeight="1" s="121"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58" t="n"/>
      <c r="R529" s="27" t="n"/>
    </row>
    <row r="530" ht="15.75" customHeight="1" s="121"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58" t="n"/>
      <c r="R530" s="27" t="n"/>
    </row>
    <row r="531" ht="15.75" customHeight="1" s="121"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58" t="n"/>
      <c r="R531" s="27" t="n"/>
    </row>
    <row r="532" ht="15.75" customHeight="1" s="121"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58" t="n"/>
      <c r="R532" s="27" t="n"/>
    </row>
    <row r="533" ht="15.75" customHeight="1" s="121"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58" t="n"/>
      <c r="R533" s="27" t="n"/>
    </row>
    <row r="534" ht="15.75" customHeight="1" s="121"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58" t="n"/>
      <c r="R534" s="27" t="n"/>
    </row>
    <row r="535" ht="15.75" customHeight="1" s="121"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58" t="n"/>
      <c r="R535" s="27" t="n"/>
    </row>
    <row r="536" ht="15.75" customHeight="1" s="121"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58" t="n"/>
      <c r="R536" s="27" t="n"/>
    </row>
    <row r="537" ht="15.75" customHeight="1" s="121"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58" t="n"/>
      <c r="R537" s="27" t="n"/>
    </row>
    <row r="538" ht="15.75" customHeight="1" s="121"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58" t="n"/>
      <c r="R538" s="27" t="n"/>
    </row>
    <row r="539" ht="15.75" customHeight="1" s="121"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58" t="n"/>
      <c r="R539" s="27" t="n"/>
    </row>
    <row r="540" ht="15.75" customHeight="1" s="121"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58" t="n"/>
      <c r="R540" s="27" t="n"/>
    </row>
    <row r="541" ht="15.75" customHeight="1" s="121"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58" t="n"/>
      <c r="R541" s="27" t="n"/>
    </row>
    <row r="542" ht="15.75" customHeight="1" s="121"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58" t="n"/>
      <c r="R542" s="27" t="n"/>
    </row>
    <row r="543" ht="15.75" customHeight="1" s="121"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58" t="n"/>
      <c r="R543" s="27" t="n"/>
    </row>
    <row r="544" ht="15.75" customHeight="1" s="121"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58" t="n"/>
      <c r="R544" s="27" t="n"/>
    </row>
    <row r="545" ht="15.75" customHeight="1" s="121"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58" t="n"/>
      <c r="R545" s="27" t="n"/>
    </row>
    <row r="546" ht="15.75" customHeight="1" s="121"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58" t="n"/>
      <c r="R546" s="27" t="n"/>
    </row>
    <row r="547" ht="15.75" customHeight="1" s="121"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58" t="n"/>
      <c r="R547" s="27" t="n"/>
    </row>
    <row r="548" ht="15.75" customHeight="1" s="121"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58" t="n"/>
      <c r="R548" s="27" t="n"/>
    </row>
    <row r="549" ht="15.75" customHeight="1" s="121"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58" t="n"/>
      <c r="R549" s="27" t="n"/>
    </row>
    <row r="550" ht="15.75" customHeight="1" s="121"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58" t="n"/>
      <c r="R550" s="27" t="n"/>
    </row>
    <row r="551" ht="15.75" customHeight="1" s="121"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58" t="n"/>
      <c r="R551" s="27" t="n"/>
    </row>
    <row r="552" ht="15.75" customHeight="1" s="121"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58" t="n"/>
      <c r="R552" s="27" t="n"/>
    </row>
    <row r="553" ht="15.75" customHeight="1" s="121"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58" t="n"/>
      <c r="R553" s="27" t="n"/>
    </row>
    <row r="554" ht="15.75" customHeight="1" s="121"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58" t="n"/>
      <c r="R554" s="27" t="n"/>
    </row>
    <row r="555" ht="15.75" customHeight="1" s="121"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58" t="n"/>
      <c r="R555" s="27" t="n"/>
    </row>
    <row r="556" ht="15.75" customHeight="1" s="121"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58" t="n"/>
      <c r="R556" s="27" t="n"/>
    </row>
    <row r="557" ht="15.75" customHeight="1" s="121"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58" t="n"/>
      <c r="R557" s="27" t="n"/>
    </row>
    <row r="558" ht="15.75" customHeight="1" s="121"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58" t="n"/>
      <c r="R558" s="27" t="n"/>
    </row>
    <row r="559" ht="15.75" customHeight="1" s="121"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58" t="n"/>
      <c r="R559" s="27" t="n"/>
    </row>
    <row r="560" ht="15.75" customHeight="1" s="121"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58" t="n"/>
      <c r="R560" s="27" t="n"/>
    </row>
    <row r="561" ht="15.75" customHeight="1" s="121"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58" t="n"/>
      <c r="R561" s="27" t="n"/>
    </row>
    <row r="562" ht="15.75" customHeight="1" s="121"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58" t="n"/>
      <c r="R562" s="27" t="n"/>
    </row>
    <row r="563" ht="15.75" customHeight="1" s="121"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58" t="n"/>
      <c r="R563" s="27" t="n"/>
    </row>
    <row r="564" ht="15.75" customHeight="1" s="121"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58" t="n"/>
      <c r="R564" s="27" t="n"/>
    </row>
    <row r="565" ht="15.75" customHeight="1" s="121"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58" t="n"/>
      <c r="R565" s="27" t="n"/>
    </row>
    <row r="566" ht="15.75" customHeight="1" s="121"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58" t="n"/>
      <c r="R566" s="27" t="n"/>
    </row>
    <row r="567" ht="15.75" customHeight="1" s="121"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58" t="n"/>
      <c r="R567" s="27" t="n"/>
    </row>
    <row r="568" ht="15.75" customHeight="1" s="121"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58" t="n"/>
      <c r="R568" s="27" t="n"/>
    </row>
    <row r="569" ht="15.75" customHeight="1" s="121"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58" t="n"/>
      <c r="R569" s="27" t="n"/>
    </row>
    <row r="570" ht="15.75" customHeight="1" s="121"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58" t="n"/>
      <c r="R570" s="27" t="n"/>
    </row>
    <row r="571" ht="15.75" customHeight="1" s="121"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58" t="n"/>
      <c r="R571" s="27" t="n"/>
    </row>
    <row r="572" ht="15.75" customHeight="1" s="121"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58" t="n"/>
      <c r="R572" s="27" t="n"/>
    </row>
    <row r="573" ht="15.75" customHeight="1" s="121"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58" t="n"/>
      <c r="R573" s="27" t="n"/>
    </row>
    <row r="574" ht="15.75" customHeight="1" s="121"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58" t="n"/>
      <c r="R574" s="27" t="n"/>
    </row>
    <row r="575" ht="15.75" customHeight="1" s="121"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58" t="n"/>
      <c r="R575" s="27" t="n"/>
    </row>
    <row r="576" ht="15.75" customHeight="1" s="121"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58" t="n"/>
      <c r="R576" s="27" t="n"/>
    </row>
    <row r="577" ht="15.75" customHeight="1" s="121"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58" t="n"/>
      <c r="R577" s="27" t="n"/>
    </row>
    <row r="578" ht="15.75" customHeight="1" s="121"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58" t="n"/>
      <c r="R578" s="27" t="n"/>
    </row>
    <row r="579" ht="15.75" customHeight="1" s="121"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58" t="n"/>
      <c r="R579" s="27" t="n"/>
    </row>
    <row r="580" ht="15.75" customHeight="1" s="121"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58" t="n"/>
      <c r="R580" s="27" t="n"/>
    </row>
    <row r="581" ht="15.75" customHeight="1" s="121"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58" t="n"/>
      <c r="R581" s="27" t="n"/>
    </row>
    <row r="582" ht="15.75" customHeight="1" s="121"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58" t="n"/>
      <c r="R582" s="27" t="n"/>
    </row>
    <row r="583" ht="15.75" customHeight="1" s="121"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58" t="n"/>
      <c r="R583" s="27" t="n"/>
    </row>
    <row r="584" ht="15.75" customHeight="1" s="121"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58" t="n"/>
      <c r="R584" s="27" t="n"/>
    </row>
    <row r="585" ht="15.75" customHeight="1" s="121"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58" t="n"/>
      <c r="R585" s="27" t="n"/>
    </row>
    <row r="586" ht="15.75" customHeight="1" s="121"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58" t="n"/>
      <c r="R586" s="27" t="n"/>
    </row>
    <row r="587" ht="15.75" customHeight="1" s="121"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58" t="n"/>
      <c r="R587" s="27" t="n"/>
    </row>
    <row r="588" ht="15.75" customHeight="1" s="121"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58" t="n"/>
      <c r="R588" s="27" t="n"/>
    </row>
    <row r="589" ht="15.75" customHeight="1" s="121"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58" t="n"/>
      <c r="R589" s="27" t="n"/>
    </row>
    <row r="590" ht="15.75" customHeight="1" s="121"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58" t="n"/>
      <c r="R590" s="27" t="n"/>
    </row>
    <row r="591" ht="15.75" customHeight="1" s="121"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58" t="n"/>
      <c r="R591" s="27" t="n"/>
    </row>
    <row r="592" ht="15.75" customHeight="1" s="121"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58" t="n"/>
      <c r="R592" s="27" t="n"/>
    </row>
    <row r="593" ht="15.75" customHeight="1" s="121"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58" t="n"/>
      <c r="R593" s="27" t="n"/>
    </row>
    <row r="594" ht="15.75" customHeight="1" s="121"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58" t="n"/>
      <c r="R594" s="27" t="n"/>
    </row>
    <row r="595" ht="15.75" customHeight="1" s="121"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58" t="n"/>
      <c r="R595" s="27" t="n"/>
    </row>
    <row r="596" ht="15.75" customHeight="1" s="121"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58" t="n"/>
      <c r="R596" s="27" t="n"/>
    </row>
    <row r="597" ht="15.75" customHeight="1" s="121"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58" t="n"/>
      <c r="R597" s="27" t="n"/>
    </row>
    <row r="598" ht="15.75" customHeight="1" s="121"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58" t="n"/>
      <c r="R598" s="27" t="n"/>
    </row>
    <row r="599" ht="15.75" customHeight="1" s="121"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58" t="n"/>
      <c r="R599" s="27" t="n"/>
    </row>
    <row r="600" ht="15.75" customHeight="1" s="121"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58" t="n"/>
      <c r="R600" s="27" t="n"/>
    </row>
    <row r="601" ht="15.75" customHeight="1" s="121"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58" t="n"/>
      <c r="R601" s="27" t="n"/>
    </row>
    <row r="602" ht="15.75" customHeight="1" s="121"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58" t="n"/>
      <c r="R602" s="27" t="n"/>
    </row>
    <row r="603" ht="15.75" customHeight="1" s="121"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58" t="n"/>
      <c r="R603" s="27" t="n"/>
    </row>
    <row r="604" ht="15.75" customHeight="1" s="121"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58" t="n"/>
      <c r="R604" s="27" t="n"/>
    </row>
    <row r="605" ht="15.75" customHeight="1" s="121"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58" t="n"/>
      <c r="R605" s="27" t="n"/>
    </row>
    <row r="606" ht="15.75" customHeight="1" s="121"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58" t="n"/>
      <c r="R606" s="27" t="n"/>
    </row>
    <row r="607" ht="15.75" customHeight="1" s="121"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58" t="n"/>
      <c r="R607" s="27" t="n"/>
    </row>
    <row r="608" ht="15.75" customHeight="1" s="121"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58" t="n"/>
      <c r="R608" s="27" t="n"/>
    </row>
    <row r="609" ht="15.75" customHeight="1" s="121"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58" t="n"/>
      <c r="R609" s="27" t="n"/>
    </row>
    <row r="610" ht="15.75" customHeight="1" s="121"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58" t="n"/>
      <c r="R610" s="27" t="n"/>
    </row>
    <row r="611" ht="15.75" customHeight="1" s="121"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58" t="n"/>
      <c r="R611" s="27" t="n"/>
    </row>
    <row r="612" ht="15.75" customHeight="1" s="121"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58" t="n"/>
      <c r="R612" s="27" t="n"/>
    </row>
    <row r="613" ht="15.75" customHeight="1" s="121"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58" t="n"/>
      <c r="R613" s="27" t="n"/>
    </row>
    <row r="614" ht="15.75" customHeight="1" s="121"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58" t="n"/>
      <c r="R614" s="27" t="n"/>
    </row>
    <row r="615" ht="15.75" customHeight="1" s="121"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58" t="n"/>
      <c r="R615" s="27" t="n"/>
    </row>
    <row r="616" ht="15.75" customHeight="1" s="121"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58" t="n"/>
      <c r="R616" s="27" t="n"/>
    </row>
    <row r="617" ht="15.75" customHeight="1" s="121"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58" t="n"/>
      <c r="R617" s="27" t="n"/>
    </row>
    <row r="618" ht="15.75" customHeight="1" s="121"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58" t="n"/>
      <c r="R618" s="27" t="n"/>
    </row>
    <row r="619" ht="15.75" customHeight="1" s="121"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58" t="n"/>
      <c r="R619" s="27" t="n"/>
    </row>
    <row r="620" ht="15.75" customHeight="1" s="121"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58" t="n"/>
      <c r="R620" s="27" t="n"/>
    </row>
    <row r="621" ht="15.75" customHeight="1" s="121"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58" t="n"/>
      <c r="R621" s="27" t="n"/>
    </row>
    <row r="622" ht="15.75" customHeight="1" s="121"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58" t="n"/>
      <c r="R622" s="27" t="n"/>
    </row>
    <row r="623" ht="15.75" customHeight="1" s="121"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58" t="n"/>
      <c r="R623" s="27" t="n"/>
    </row>
    <row r="624" ht="15.75" customHeight="1" s="121"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58" t="n"/>
      <c r="R624" s="27" t="n"/>
    </row>
    <row r="625" ht="15.75" customHeight="1" s="121"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58" t="n"/>
      <c r="R625" s="27" t="n"/>
    </row>
    <row r="626" ht="15.75" customHeight="1" s="121"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58" t="n"/>
      <c r="R626" s="27" t="n"/>
    </row>
    <row r="627" ht="15.75" customHeight="1" s="121"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58" t="n"/>
      <c r="R627" s="27" t="n"/>
    </row>
    <row r="628" ht="15.75" customHeight="1" s="121"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58" t="n"/>
      <c r="R628" s="27" t="n"/>
    </row>
    <row r="629" ht="15.75" customHeight="1" s="121"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58" t="n"/>
      <c r="R629" s="27" t="n"/>
    </row>
    <row r="630" ht="15.75" customHeight="1" s="121"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58" t="n"/>
      <c r="R630" s="27" t="n"/>
    </row>
    <row r="631" ht="15.75" customHeight="1" s="121"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58" t="n"/>
      <c r="R631" s="27" t="n"/>
    </row>
    <row r="632" ht="15.75" customHeight="1" s="121"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58" t="n"/>
      <c r="R632" s="27" t="n"/>
    </row>
    <row r="633" ht="15.75" customHeight="1" s="121"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58" t="n"/>
      <c r="R633" s="27" t="n"/>
    </row>
    <row r="634" ht="15.75" customHeight="1" s="121"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58" t="n"/>
      <c r="R634" s="27" t="n"/>
    </row>
    <row r="635" ht="15.75" customHeight="1" s="121"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58" t="n"/>
      <c r="R635" s="27" t="n"/>
    </row>
    <row r="636" ht="15.75" customHeight="1" s="121"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58" t="n"/>
      <c r="R636" s="27" t="n"/>
    </row>
    <row r="637" ht="15.75" customHeight="1" s="121"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58" t="n"/>
      <c r="R637" s="27" t="n"/>
    </row>
    <row r="638" ht="15.75" customHeight="1" s="121"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58" t="n"/>
      <c r="R638" s="27" t="n"/>
    </row>
    <row r="639" ht="15.75" customHeight="1" s="121"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58" t="n"/>
      <c r="R639" s="27" t="n"/>
    </row>
    <row r="640" ht="15.75" customHeight="1" s="121"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58" t="n"/>
      <c r="R640" s="27" t="n"/>
    </row>
    <row r="641" ht="15.75" customHeight="1" s="121"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58" t="n"/>
      <c r="R641" s="27" t="n"/>
    </row>
    <row r="642" ht="15.75" customHeight="1" s="121"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58" t="n"/>
      <c r="R642" s="27" t="n"/>
    </row>
    <row r="643" ht="15.75" customHeight="1" s="121"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58" t="n"/>
      <c r="R643" s="27" t="n"/>
    </row>
    <row r="644" ht="15.75" customHeight="1" s="121"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58" t="n"/>
      <c r="R644" s="27" t="n"/>
    </row>
    <row r="645" ht="15.75" customHeight="1" s="121"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58" t="n"/>
      <c r="R645" s="27" t="n"/>
    </row>
    <row r="646" ht="15.75" customHeight="1" s="121"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58" t="n"/>
      <c r="R646" s="27" t="n"/>
    </row>
    <row r="647" ht="15.75" customHeight="1" s="121"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58" t="n"/>
      <c r="R647" s="27" t="n"/>
    </row>
    <row r="648" ht="15.75" customHeight="1" s="121"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58" t="n"/>
      <c r="R648" s="27" t="n"/>
    </row>
    <row r="649" ht="15.75" customHeight="1" s="121"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58" t="n"/>
      <c r="R649" s="27" t="n"/>
    </row>
    <row r="650" ht="15.75" customHeight="1" s="121"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58" t="n"/>
      <c r="R650" s="27" t="n"/>
    </row>
    <row r="651" ht="15.75" customHeight="1" s="121"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58" t="n"/>
      <c r="R651" s="27" t="n"/>
    </row>
    <row r="652" ht="15.75" customHeight="1" s="121"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58" t="n"/>
      <c r="R652" s="27" t="n"/>
    </row>
    <row r="653" ht="15.75" customHeight="1" s="121"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58" t="n"/>
      <c r="R653" s="27" t="n"/>
    </row>
    <row r="654" ht="15.75" customHeight="1" s="121"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58" t="n"/>
      <c r="R654" s="27" t="n"/>
    </row>
    <row r="655" ht="15.75" customHeight="1" s="121"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58" t="n"/>
      <c r="R655" s="27" t="n"/>
    </row>
    <row r="656" ht="15.75" customHeight="1" s="121"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58" t="n"/>
      <c r="R656" s="27" t="n"/>
    </row>
    <row r="657" ht="15.75" customHeight="1" s="121"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58" t="n"/>
      <c r="R657" s="27" t="n"/>
    </row>
    <row r="658" ht="15.75" customHeight="1" s="121"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58" t="n"/>
      <c r="R658" s="27" t="n"/>
    </row>
    <row r="659" ht="15.75" customHeight="1" s="121"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58" t="n"/>
      <c r="R659" s="27" t="n"/>
    </row>
    <row r="660" ht="15.75" customHeight="1" s="121"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58" t="n"/>
      <c r="R660" s="27" t="n"/>
    </row>
    <row r="661" ht="15.75" customHeight="1" s="121"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58" t="n"/>
      <c r="R661" s="27" t="n"/>
    </row>
    <row r="662" ht="15.75" customHeight="1" s="121"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58" t="n"/>
      <c r="R662" s="27" t="n"/>
    </row>
    <row r="663" ht="15.75" customHeight="1" s="121"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58" t="n"/>
      <c r="R663" s="27" t="n"/>
    </row>
    <row r="664" ht="15.75" customHeight="1" s="121"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58" t="n"/>
      <c r="R664" s="27" t="n"/>
    </row>
    <row r="665" ht="15.75" customHeight="1" s="121"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58" t="n"/>
      <c r="R665" s="27" t="n"/>
    </row>
    <row r="666" ht="15.75" customHeight="1" s="121"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58" t="n"/>
      <c r="R666" s="27" t="n"/>
    </row>
    <row r="667" ht="15.75" customHeight="1" s="121"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58" t="n"/>
      <c r="R667" s="27" t="n"/>
    </row>
    <row r="668" ht="15.75" customHeight="1" s="121"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58" t="n"/>
      <c r="R668" s="27" t="n"/>
    </row>
    <row r="669" ht="15.75" customHeight="1" s="121"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58" t="n"/>
      <c r="R669" s="27" t="n"/>
    </row>
    <row r="670" ht="15.75" customHeight="1" s="121"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58" t="n"/>
      <c r="R670" s="27" t="n"/>
    </row>
    <row r="671" ht="15.75" customHeight="1" s="121"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58" t="n"/>
      <c r="R671" s="27" t="n"/>
    </row>
    <row r="672" ht="15.75" customHeight="1" s="121"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58" t="n"/>
      <c r="R672" s="27" t="n"/>
    </row>
    <row r="673" ht="15.75" customHeight="1" s="121"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58" t="n"/>
      <c r="R673" s="27" t="n"/>
    </row>
    <row r="674" ht="15.75" customHeight="1" s="121"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58" t="n"/>
      <c r="R674" s="27" t="n"/>
    </row>
    <row r="675" ht="15.75" customHeight="1" s="121"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58" t="n"/>
      <c r="R675" s="27" t="n"/>
    </row>
    <row r="676" ht="15.75" customHeight="1" s="121"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58" t="n"/>
      <c r="R676" s="27" t="n"/>
    </row>
    <row r="677" ht="15.75" customHeight="1" s="121"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58" t="n"/>
      <c r="R677" s="27" t="n"/>
    </row>
    <row r="678" ht="15.75" customHeight="1" s="121"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58" t="n"/>
      <c r="R678" s="27" t="n"/>
    </row>
    <row r="679" ht="15.75" customHeight="1" s="121"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58" t="n"/>
      <c r="R679" s="27" t="n"/>
    </row>
    <row r="680" ht="15.75" customHeight="1" s="121"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58" t="n"/>
      <c r="R680" s="27" t="n"/>
    </row>
    <row r="681" ht="15.75" customHeight="1" s="121"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58" t="n"/>
      <c r="R681" s="27" t="n"/>
    </row>
    <row r="682" ht="15.75" customHeight="1" s="121"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58" t="n"/>
      <c r="R682" s="27" t="n"/>
    </row>
    <row r="683" ht="15.75" customHeight="1" s="121"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58" t="n"/>
      <c r="R683" s="27" t="n"/>
    </row>
    <row r="684" ht="15.75" customHeight="1" s="121"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58" t="n"/>
      <c r="R684" s="27" t="n"/>
    </row>
    <row r="685" ht="15.75" customHeight="1" s="121"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58" t="n"/>
      <c r="R685" s="27" t="n"/>
    </row>
    <row r="686" ht="15.75" customHeight="1" s="121"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58" t="n"/>
      <c r="R686" s="27" t="n"/>
    </row>
    <row r="687" ht="15.75" customHeight="1" s="121"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58" t="n"/>
      <c r="R687" s="27" t="n"/>
    </row>
    <row r="688" ht="15.75" customHeight="1" s="121"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58" t="n"/>
      <c r="R688" s="27" t="n"/>
    </row>
    <row r="689" ht="15.75" customHeight="1" s="121"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58" t="n"/>
      <c r="R689" s="27" t="n"/>
    </row>
    <row r="690" ht="15.75" customHeight="1" s="121"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58" t="n"/>
      <c r="R690" s="27" t="n"/>
    </row>
    <row r="691" ht="15.75" customHeight="1" s="121"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58" t="n"/>
      <c r="R691" s="27" t="n"/>
    </row>
    <row r="692" ht="15.75" customHeight="1" s="121"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58" t="n"/>
      <c r="R692" s="27" t="n"/>
    </row>
    <row r="693" ht="15.75" customHeight="1" s="121"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58" t="n"/>
      <c r="R693" s="27" t="n"/>
    </row>
    <row r="694" ht="15.75" customHeight="1" s="121"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58" t="n"/>
      <c r="R694" s="27" t="n"/>
    </row>
    <row r="695" ht="15.75" customHeight="1" s="121"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58" t="n"/>
      <c r="R695" s="27" t="n"/>
    </row>
    <row r="696" ht="15.75" customHeight="1" s="121"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58" t="n"/>
      <c r="R696" s="27" t="n"/>
    </row>
    <row r="697" ht="15.75" customHeight="1" s="121"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58" t="n"/>
      <c r="R697" s="27" t="n"/>
    </row>
    <row r="698" ht="15.75" customHeight="1" s="121"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58" t="n"/>
      <c r="R698" s="27" t="n"/>
    </row>
    <row r="699" ht="15.75" customHeight="1" s="121"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58" t="n"/>
      <c r="R699" s="27" t="n"/>
    </row>
    <row r="700" ht="15.75" customHeight="1" s="121"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58" t="n"/>
      <c r="R700" s="27" t="n"/>
    </row>
    <row r="701" ht="15.75" customHeight="1" s="121"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58" t="n"/>
      <c r="R701" s="27" t="n"/>
    </row>
    <row r="702" ht="15.75" customHeight="1" s="121"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58" t="n"/>
      <c r="R702" s="27" t="n"/>
    </row>
    <row r="703" ht="15.75" customHeight="1" s="121"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58" t="n"/>
      <c r="R703" s="27" t="n"/>
    </row>
    <row r="704" ht="15.75" customHeight="1" s="121"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58" t="n"/>
      <c r="R704" s="27" t="n"/>
    </row>
    <row r="705" ht="15.75" customHeight="1" s="121"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58" t="n"/>
      <c r="R705" s="27" t="n"/>
    </row>
    <row r="706" ht="15.75" customHeight="1" s="121"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58" t="n"/>
      <c r="R706" s="27" t="n"/>
    </row>
    <row r="707" ht="15.75" customHeight="1" s="121"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58" t="n"/>
      <c r="R707" s="27" t="n"/>
    </row>
    <row r="708" ht="15.75" customHeight="1" s="121"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58" t="n"/>
      <c r="R708" s="27" t="n"/>
    </row>
    <row r="709" ht="15.75" customHeight="1" s="121"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58" t="n"/>
      <c r="R709" s="27" t="n"/>
    </row>
    <row r="710" ht="15.75" customHeight="1" s="121"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58" t="n"/>
      <c r="R710" s="27" t="n"/>
    </row>
    <row r="711" ht="15.75" customHeight="1" s="121"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58" t="n"/>
      <c r="R711" s="27" t="n"/>
    </row>
    <row r="712" ht="15.75" customHeight="1" s="121"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58" t="n"/>
      <c r="R712" s="27" t="n"/>
    </row>
    <row r="713" ht="15.75" customHeight="1" s="121"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58" t="n"/>
      <c r="R713" s="27" t="n"/>
    </row>
    <row r="714" ht="15.75" customHeight="1" s="121"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58" t="n"/>
      <c r="R714" s="27" t="n"/>
    </row>
    <row r="715" ht="15.75" customHeight="1" s="121"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58" t="n"/>
      <c r="R715" s="27" t="n"/>
    </row>
    <row r="716" ht="15.75" customHeight="1" s="121"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58" t="n"/>
      <c r="R716" s="27" t="n"/>
    </row>
    <row r="717" ht="15.75" customHeight="1" s="121"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58" t="n"/>
      <c r="R717" s="27" t="n"/>
    </row>
    <row r="718" ht="15.75" customHeight="1" s="121"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58" t="n"/>
      <c r="R718" s="27" t="n"/>
    </row>
    <row r="719" ht="15.75" customHeight="1" s="121"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58" t="n"/>
      <c r="R719" s="27" t="n"/>
    </row>
    <row r="720" ht="15.75" customHeight="1" s="121"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58" t="n"/>
      <c r="R720" s="27" t="n"/>
    </row>
    <row r="721" ht="15.75" customHeight="1" s="121"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58" t="n"/>
      <c r="R721" s="27" t="n"/>
    </row>
    <row r="722" ht="15.75" customHeight="1" s="121"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58" t="n"/>
      <c r="R722" s="27" t="n"/>
    </row>
    <row r="723" ht="15.75" customHeight="1" s="121"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58" t="n"/>
      <c r="R723" s="27" t="n"/>
    </row>
    <row r="724" ht="15.75" customHeight="1" s="121"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58" t="n"/>
      <c r="R724" s="27" t="n"/>
    </row>
    <row r="725" ht="15.75" customHeight="1" s="121"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58" t="n"/>
      <c r="R725" s="27" t="n"/>
    </row>
    <row r="726" ht="15.75" customHeight="1" s="121"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58" t="n"/>
      <c r="R726" s="27" t="n"/>
    </row>
    <row r="727" ht="15.75" customHeight="1" s="121"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58" t="n"/>
      <c r="R727" s="27" t="n"/>
    </row>
    <row r="728" ht="15.75" customHeight="1" s="121"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58" t="n"/>
      <c r="R728" s="27" t="n"/>
    </row>
    <row r="729" ht="15.75" customHeight="1" s="121"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58" t="n"/>
      <c r="R729" s="27" t="n"/>
    </row>
    <row r="730" ht="15.75" customHeight="1" s="121"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58" t="n"/>
      <c r="R730" s="27" t="n"/>
    </row>
    <row r="731" ht="15.75" customHeight="1" s="121"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58" t="n"/>
      <c r="R731" s="27" t="n"/>
    </row>
    <row r="732" ht="15.75" customHeight="1" s="121"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58" t="n"/>
      <c r="R732" s="27" t="n"/>
    </row>
    <row r="733" ht="15.75" customHeight="1" s="121"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58" t="n"/>
      <c r="R733" s="27" t="n"/>
    </row>
    <row r="734" ht="15.75" customHeight="1" s="121"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58" t="n"/>
      <c r="R734" s="27" t="n"/>
    </row>
    <row r="735" ht="15.75" customHeight="1" s="121"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58" t="n"/>
      <c r="R735" s="27" t="n"/>
    </row>
    <row r="736" ht="15.75" customHeight="1" s="121"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58" t="n"/>
      <c r="R736" s="27" t="n"/>
    </row>
    <row r="737" ht="15.75" customHeight="1" s="121"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58" t="n"/>
      <c r="R737" s="27" t="n"/>
    </row>
    <row r="738" ht="15.75" customHeight="1" s="121"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58" t="n"/>
      <c r="R738" s="27" t="n"/>
    </row>
    <row r="739" ht="15.75" customHeight="1" s="121"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58" t="n"/>
      <c r="R739" s="27" t="n"/>
    </row>
    <row r="740" ht="15.75" customHeight="1" s="121"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58" t="n"/>
      <c r="R740" s="27" t="n"/>
    </row>
    <row r="741" ht="15.75" customHeight="1" s="121"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58" t="n"/>
      <c r="R741" s="27" t="n"/>
    </row>
    <row r="742" ht="15.75" customHeight="1" s="121"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58" t="n"/>
      <c r="R742" s="27" t="n"/>
    </row>
    <row r="743" ht="15.75" customHeight="1" s="121"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58" t="n"/>
      <c r="R743" s="27" t="n"/>
    </row>
    <row r="744" ht="15.75" customHeight="1" s="121"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58" t="n"/>
      <c r="R744" s="27" t="n"/>
    </row>
    <row r="745" ht="15.75" customHeight="1" s="121"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58" t="n"/>
      <c r="R745" s="27" t="n"/>
    </row>
    <row r="746" ht="15.75" customHeight="1" s="121"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58" t="n"/>
      <c r="R746" s="27" t="n"/>
    </row>
    <row r="747" ht="15.75" customHeight="1" s="121"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58" t="n"/>
      <c r="R747" s="27" t="n"/>
    </row>
    <row r="748" ht="15.75" customHeight="1" s="121"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58" t="n"/>
      <c r="R748" s="27" t="n"/>
    </row>
    <row r="749" ht="15.75" customHeight="1" s="121"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58" t="n"/>
      <c r="R749" s="27" t="n"/>
    </row>
    <row r="750" ht="15.75" customHeight="1" s="121"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58" t="n"/>
      <c r="R750" s="27" t="n"/>
    </row>
    <row r="751" ht="15.75" customHeight="1" s="121"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58" t="n"/>
      <c r="R751" s="27" t="n"/>
    </row>
    <row r="752" ht="15.75" customHeight="1" s="121"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58" t="n"/>
      <c r="R752" s="27" t="n"/>
    </row>
    <row r="753" ht="15.75" customHeight="1" s="121"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58" t="n"/>
      <c r="R753" s="27" t="n"/>
    </row>
    <row r="754" ht="15.75" customHeight="1" s="121"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58" t="n"/>
      <c r="R754" s="27" t="n"/>
    </row>
    <row r="755" ht="15.75" customHeight="1" s="121"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58" t="n"/>
      <c r="R755" s="27" t="n"/>
    </row>
    <row r="756" ht="15.75" customHeight="1" s="121"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58" t="n"/>
      <c r="R756" s="27" t="n"/>
    </row>
    <row r="757" ht="15.75" customHeight="1" s="121"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58" t="n"/>
      <c r="R757" s="27" t="n"/>
    </row>
    <row r="758" ht="15.75" customHeight="1" s="121"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58" t="n"/>
      <c r="R758" s="27" t="n"/>
    </row>
    <row r="759" ht="15.75" customHeight="1" s="121"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58" t="n"/>
      <c r="R759" s="27" t="n"/>
    </row>
    <row r="760" ht="15.75" customHeight="1" s="121"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58" t="n"/>
      <c r="R760" s="27" t="n"/>
    </row>
    <row r="761" ht="15.75" customHeight="1" s="121"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58" t="n"/>
      <c r="R761" s="27" t="n"/>
    </row>
    <row r="762" ht="15.75" customHeight="1" s="121"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58" t="n"/>
      <c r="R762" s="27" t="n"/>
    </row>
    <row r="763" ht="15.75" customHeight="1" s="121"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58" t="n"/>
      <c r="R763" s="27" t="n"/>
    </row>
    <row r="764" ht="15.75" customHeight="1" s="121"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58" t="n"/>
      <c r="R764" s="27" t="n"/>
    </row>
    <row r="765" ht="15.75" customHeight="1" s="121"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58" t="n"/>
      <c r="R765" s="27" t="n"/>
    </row>
    <row r="766" ht="15.75" customHeight="1" s="121"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58" t="n"/>
      <c r="R766" s="27" t="n"/>
    </row>
    <row r="767" ht="15.75" customHeight="1" s="121"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58" t="n"/>
      <c r="R767" s="27" t="n"/>
    </row>
    <row r="768" ht="15.75" customHeight="1" s="121"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58" t="n"/>
      <c r="R768" s="27" t="n"/>
    </row>
    <row r="769" ht="15.75" customHeight="1" s="121"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58" t="n"/>
      <c r="R769" s="27" t="n"/>
    </row>
    <row r="770" ht="15.75" customHeight="1" s="121"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58" t="n"/>
      <c r="R770" s="27" t="n"/>
    </row>
    <row r="771" ht="15.75" customHeight="1" s="121"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58" t="n"/>
      <c r="R771" s="27" t="n"/>
    </row>
    <row r="772" ht="15.75" customHeight="1" s="121"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58" t="n"/>
      <c r="R772" s="27" t="n"/>
    </row>
    <row r="773" ht="15.75" customHeight="1" s="121"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58" t="n"/>
      <c r="R773" s="27" t="n"/>
    </row>
    <row r="774" ht="15.75" customHeight="1" s="121"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58" t="n"/>
      <c r="R774" s="27" t="n"/>
    </row>
    <row r="775" ht="15.75" customHeight="1" s="121"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58" t="n"/>
      <c r="R775" s="27" t="n"/>
    </row>
    <row r="776" ht="15.75" customHeight="1" s="121"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58" t="n"/>
      <c r="R776" s="27" t="n"/>
    </row>
    <row r="777" ht="15.75" customHeight="1" s="121"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58" t="n"/>
      <c r="R777" s="27" t="n"/>
    </row>
    <row r="778" ht="15.75" customHeight="1" s="121"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58" t="n"/>
      <c r="R778" s="27" t="n"/>
    </row>
    <row r="779" ht="15.75" customHeight="1" s="121"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58" t="n"/>
      <c r="R779" s="27" t="n"/>
    </row>
    <row r="780" ht="15.75" customHeight="1" s="121"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58" t="n"/>
      <c r="R780" s="27" t="n"/>
    </row>
    <row r="781" ht="15.75" customHeight="1" s="121"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58" t="n"/>
      <c r="R781" s="27" t="n"/>
    </row>
    <row r="782" ht="15.75" customHeight="1" s="121"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58" t="n"/>
      <c r="R782" s="27" t="n"/>
    </row>
    <row r="783" ht="15.75" customHeight="1" s="121"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58" t="n"/>
      <c r="R783" s="27" t="n"/>
    </row>
    <row r="784" ht="15.75" customHeight="1" s="121"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58" t="n"/>
      <c r="R784" s="27" t="n"/>
    </row>
    <row r="785" ht="15.75" customHeight="1" s="121"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58" t="n"/>
      <c r="R785" s="27" t="n"/>
    </row>
    <row r="786" ht="15.75" customHeight="1" s="121"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58" t="n"/>
      <c r="R786" s="27" t="n"/>
    </row>
    <row r="787" ht="15.75" customHeight="1" s="121"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58" t="n"/>
      <c r="R787" s="27" t="n"/>
    </row>
    <row r="788" ht="15.75" customHeight="1" s="121"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58" t="n"/>
      <c r="R788" s="27" t="n"/>
    </row>
    <row r="789" ht="15.75" customHeight="1" s="121"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58" t="n"/>
      <c r="R789" s="27" t="n"/>
    </row>
    <row r="790" ht="15.75" customHeight="1" s="121"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58" t="n"/>
      <c r="R790" s="27" t="n"/>
    </row>
    <row r="791" ht="15.75" customHeight="1" s="121"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58" t="n"/>
      <c r="R791" s="27" t="n"/>
    </row>
    <row r="792" ht="15.75" customHeight="1" s="121"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58" t="n"/>
      <c r="R792" s="27" t="n"/>
    </row>
    <row r="793" ht="15.75" customHeight="1" s="121"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58" t="n"/>
      <c r="R793" s="27" t="n"/>
    </row>
    <row r="794" ht="15.75" customHeight="1" s="121"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58" t="n"/>
      <c r="R794" s="27" t="n"/>
    </row>
    <row r="795" ht="15.75" customHeight="1" s="121"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58" t="n"/>
      <c r="R795" s="27" t="n"/>
    </row>
    <row r="796" ht="15.75" customHeight="1" s="121"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58" t="n"/>
      <c r="R796" s="27" t="n"/>
    </row>
    <row r="797" ht="15.75" customHeight="1" s="121"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58" t="n"/>
      <c r="R797" s="27" t="n"/>
    </row>
    <row r="798" ht="15.75" customHeight="1" s="121"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58" t="n"/>
      <c r="R798" s="27" t="n"/>
    </row>
    <row r="799" ht="15.75" customHeight="1" s="121"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58" t="n"/>
      <c r="R799" s="27" t="n"/>
    </row>
    <row r="800" ht="15.75" customHeight="1" s="121"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58" t="n"/>
      <c r="R800" s="27" t="n"/>
    </row>
    <row r="801" ht="15.75" customHeight="1" s="121"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58" t="n"/>
      <c r="R801" s="27" t="n"/>
    </row>
    <row r="802" ht="15.75" customHeight="1" s="121"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58" t="n"/>
      <c r="R802" s="27" t="n"/>
    </row>
    <row r="803" ht="15.75" customHeight="1" s="121"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58" t="n"/>
      <c r="R803" s="27" t="n"/>
    </row>
    <row r="804" ht="15.75" customHeight="1" s="121"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58" t="n"/>
      <c r="R804" s="27" t="n"/>
    </row>
    <row r="805" ht="15.75" customHeight="1" s="121"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58" t="n"/>
      <c r="R805" s="27" t="n"/>
    </row>
    <row r="806" ht="15.75" customHeight="1" s="121"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58" t="n"/>
      <c r="R806" s="27" t="n"/>
    </row>
    <row r="807" ht="15.75" customHeight="1" s="121"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58" t="n"/>
      <c r="R807" s="27" t="n"/>
    </row>
    <row r="808" ht="15.75" customHeight="1" s="121"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58" t="n"/>
      <c r="R808" s="27" t="n"/>
    </row>
    <row r="809" ht="15.75" customHeight="1" s="121"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58" t="n"/>
      <c r="R809" s="27" t="n"/>
    </row>
    <row r="810" ht="15.75" customHeight="1" s="121"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58" t="n"/>
      <c r="R810" s="27" t="n"/>
    </row>
    <row r="811" ht="15.75" customHeight="1" s="121"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58" t="n"/>
      <c r="R811" s="27" t="n"/>
    </row>
    <row r="812" ht="15.75" customHeight="1" s="121"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58" t="n"/>
      <c r="R812" s="27" t="n"/>
    </row>
    <row r="813" ht="15.75" customHeight="1" s="121"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58" t="n"/>
      <c r="R813" s="27" t="n"/>
    </row>
    <row r="814" ht="15.75" customHeight="1" s="121"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58" t="n"/>
      <c r="R814" s="27" t="n"/>
    </row>
    <row r="815" ht="15.75" customHeight="1" s="121"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58" t="n"/>
      <c r="R815" s="27" t="n"/>
    </row>
    <row r="816" ht="15.75" customHeight="1" s="121"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58" t="n"/>
      <c r="R816" s="27" t="n"/>
    </row>
    <row r="817" ht="15.75" customHeight="1" s="121"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58" t="n"/>
      <c r="R817" s="27" t="n"/>
    </row>
    <row r="818" ht="15.75" customHeight="1" s="121"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58" t="n"/>
      <c r="R818" s="27" t="n"/>
    </row>
    <row r="819" ht="15.75" customHeight="1" s="121"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58" t="n"/>
      <c r="R819" s="27" t="n"/>
    </row>
    <row r="820" ht="15.75" customHeight="1" s="121"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58" t="n"/>
      <c r="R820" s="27" t="n"/>
    </row>
    <row r="821" ht="15.75" customHeight="1" s="121"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58" t="n"/>
      <c r="R821" s="27" t="n"/>
    </row>
    <row r="822" ht="15.75" customHeight="1" s="121"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58" t="n"/>
      <c r="R822" s="27" t="n"/>
    </row>
    <row r="823" ht="15.75" customHeight="1" s="121"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58" t="n"/>
      <c r="R823" s="27" t="n"/>
    </row>
    <row r="824" ht="15.75" customHeight="1" s="121"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58" t="n"/>
      <c r="R824" s="27" t="n"/>
    </row>
    <row r="825" ht="15.75" customHeight="1" s="121"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58" t="n"/>
      <c r="R825" s="27" t="n"/>
    </row>
    <row r="826" ht="15.75" customHeight="1" s="121"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58" t="n"/>
      <c r="R826" s="27" t="n"/>
    </row>
    <row r="827" ht="15.75" customHeight="1" s="121"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58" t="n"/>
      <c r="R827" s="27" t="n"/>
    </row>
    <row r="828" ht="15.75" customHeight="1" s="121"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58" t="n"/>
      <c r="R828" s="27" t="n"/>
    </row>
    <row r="829" ht="15.75" customHeight="1" s="121"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58" t="n"/>
      <c r="R829" s="27" t="n"/>
    </row>
    <row r="830" ht="15.75" customHeight="1" s="121"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58" t="n"/>
      <c r="R830" s="27" t="n"/>
    </row>
    <row r="831" ht="15.75" customHeight="1" s="121"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58" t="n"/>
      <c r="R831" s="27" t="n"/>
    </row>
    <row r="832" ht="15.75" customHeight="1" s="121"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58" t="n"/>
      <c r="R832" s="27" t="n"/>
    </row>
    <row r="833" ht="15.75" customHeight="1" s="121"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58" t="n"/>
      <c r="R833" s="27" t="n"/>
    </row>
    <row r="834" ht="15.75" customHeight="1" s="121"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58" t="n"/>
      <c r="R834" s="27" t="n"/>
    </row>
    <row r="835" ht="15.75" customHeight="1" s="121"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58" t="n"/>
      <c r="R835" s="27" t="n"/>
    </row>
    <row r="836" ht="15.75" customHeight="1" s="121"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58" t="n"/>
      <c r="R836" s="27" t="n"/>
    </row>
    <row r="837" ht="15.75" customHeight="1" s="121"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58" t="n"/>
      <c r="R837" s="27" t="n"/>
    </row>
    <row r="838" ht="15.75" customHeight="1" s="121"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58" t="n"/>
      <c r="R838" s="27" t="n"/>
    </row>
    <row r="839" ht="15.75" customHeight="1" s="121"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58" t="n"/>
      <c r="R839" s="27" t="n"/>
    </row>
    <row r="840" ht="15.75" customHeight="1" s="121"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58" t="n"/>
      <c r="R840" s="27" t="n"/>
    </row>
    <row r="841" ht="15.75" customHeight="1" s="121"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58" t="n"/>
      <c r="R841" s="27" t="n"/>
    </row>
    <row r="842" ht="15.75" customHeight="1" s="121"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58" t="n"/>
      <c r="R842" s="27" t="n"/>
    </row>
    <row r="843" ht="15.75" customHeight="1" s="121"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58" t="n"/>
      <c r="R843" s="27" t="n"/>
    </row>
    <row r="844" ht="15.75" customHeight="1" s="121"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58" t="n"/>
      <c r="R844" s="27" t="n"/>
    </row>
    <row r="845" ht="15.75" customHeight="1" s="121"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58" t="n"/>
      <c r="R845" s="27" t="n"/>
    </row>
    <row r="846" ht="15.75" customHeight="1" s="121"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58" t="n"/>
      <c r="R846" s="27" t="n"/>
    </row>
    <row r="847" ht="15.75" customHeight="1" s="121"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58" t="n"/>
      <c r="R847" s="27" t="n"/>
    </row>
    <row r="848" ht="15.75" customHeight="1" s="121"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58" t="n"/>
      <c r="R848" s="27" t="n"/>
    </row>
    <row r="849" ht="15.75" customHeight="1" s="121"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58" t="n"/>
      <c r="R849" s="27" t="n"/>
    </row>
    <row r="850" ht="15.75" customHeight="1" s="121"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58" t="n"/>
      <c r="R850" s="27" t="n"/>
    </row>
    <row r="851" ht="15.75" customHeight="1" s="121"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58" t="n"/>
      <c r="R851" s="27" t="n"/>
    </row>
    <row r="852" ht="15.75" customHeight="1" s="121"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58" t="n"/>
      <c r="R852" s="27" t="n"/>
    </row>
    <row r="853" ht="15.75" customHeight="1" s="121"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58" t="n"/>
      <c r="R853" s="27" t="n"/>
    </row>
    <row r="854" ht="15.75" customHeight="1" s="121"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58" t="n"/>
      <c r="R854" s="27" t="n"/>
    </row>
    <row r="855" ht="15.75" customHeight="1" s="121"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58" t="n"/>
      <c r="R855" s="27" t="n"/>
    </row>
    <row r="856" ht="15.75" customHeight="1" s="121"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58" t="n"/>
      <c r="R856" s="27" t="n"/>
    </row>
    <row r="857" ht="15.75" customHeight="1" s="121"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58" t="n"/>
      <c r="R857" s="27" t="n"/>
    </row>
    <row r="858" ht="15.75" customHeight="1" s="121"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58" t="n"/>
      <c r="R858" s="27" t="n"/>
    </row>
    <row r="859" ht="15.75" customHeight="1" s="121"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58" t="n"/>
      <c r="R859" s="27" t="n"/>
    </row>
    <row r="860" ht="15.75" customHeight="1" s="121"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58" t="n"/>
      <c r="R860" s="27" t="n"/>
    </row>
    <row r="861" ht="15.75" customHeight="1" s="121"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58" t="n"/>
      <c r="R861" s="27" t="n"/>
    </row>
    <row r="862" ht="15.75" customHeight="1" s="121"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58" t="n"/>
      <c r="R862" s="27" t="n"/>
    </row>
    <row r="863" ht="15.75" customHeight="1" s="121"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58" t="n"/>
      <c r="R863" s="27" t="n"/>
    </row>
    <row r="864" ht="15.75" customHeight="1" s="121"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58" t="n"/>
      <c r="R864" s="27" t="n"/>
    </row>
    <row r="865" ht="15.75" customHeight="1" s="121"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58" t="n"/>
      <c r="R865" s="27" t="n"/>
    </row>
    <row r="866" ht="15.75" customHeight="1" s="121"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58" t="n"/>
      <c r="R866" s="27" t="n"/>
    </row>
    <row r="867" ht="15.75" customHeight="1" s="121"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58" t="n"/>
      <c r="R867" s="27" t="n"/>
    </row>
    <row r="868" ht="15.75" customHeight="1" s="121"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58" t="n"/>
      <c r="R868" s="27" t="n"/>
    </row>
    <row r="869" ht="15.75" customHeight="1" s="121"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58" t="n"/>
      <c r="R869" s="27" t="n"/>
    </row>
    <row r="870" ht="15.75" customHeight="1" s="121"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58" t="n"/>
      <c r="R870" s="27" t="n"/>
    </row>
    <row r="871" ht="15.75" customHeight="1" s="121"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58" t="n"/>
      <c r="R871" s="27" t="n"/>
    </row>
    <row r="872" ht="15.75" customHeight="1" s="121"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58" t="n"/>
      <c r="R872" s="27" t="n"/>
    </row>
    <row r="873" ht="15.75" customHeight="1" s="121"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58" t="n"/>
      <c r="R873" s="27" t="n"/>
    </row>
    <row r="874" ht="15.75" customHeight="1" s="121"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58" t="n"/>
      <c r="R874" s="27" t="n"/>
    </row>
    <row r="875" ht="15.75" customHeight="1" s="121"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58" t="n"/>
      <c r="R875" s="27" t="n"/>
    </row>
    <row r="876" ht="15.75" customHeight="1" s="121"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58" t="n"/>
      <c r="R876" s="27" t="n"/>
    </row>
    <row r="877" ht="15.75" customHeight="1" s="121"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58" t="n"/>
      <c r="R877" s="27" t="n"/>
    </row>
    <row r="878" ht="15.75" customHeight="1" s="121"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58" t="n"/>
      <c r="R878" s="27" t="n"/>
    </row>
    <row r="879" ht="15.75" customHeight="1" s="121"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58" t="n"/>
      <c r="R879" s="27" t="n"/>
    </row>
    <row r="880" ht="15.75" customHeight="1" s="121"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58" t="n"/>
      <c r="R880" s="27" t="n"/>
    </row>
    <row r="881" ht="15.75" customHeight="1" s="121"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58" t="n"/>
      <c r="R881" s="27" t="n"/>
    </row>
    <row r="882" ht="15.75" customHeight="1" s="121"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58" t="n"/>
      <c r="R882" s="27" t="n"/>
    </row>
    <row r="883" ht="15.75" customHeight="1" s="121"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58" t="n"/>
      <c r="R883" s="27" t="n"/>
    </row>
    <row r="884" ht="15.75" customHeight="1" s="121"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58" t="n"/>
      <c r="R884" s="27" t="n"/>
    </row>
    <row r="885" ht="15.75" customHeight="1" s="121"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58" t="n"/>
      <c r="R885" s="27" t="n"/>
    </row>
    <row r="886" ht="15.75" customHeight="1" s="121"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58" t="n"/>
      <c r="R886" s="27" t="n"/>
    </row>
    <row r="887" ht="15.75" customHeight="1" s="121"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58" t="n"/>
      <c r="R887" s="27" t="n"/>
    </row>
    <row r="888" ht="15.75" customHeight="1" s="121"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58" t="n"/>
      <c r="R888" s="27" t="n"/>
    </row>
    <row r="889" ht="15.75" customHeight="1" s="121"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58" t="n"/>
      <c r="R889" s="27" t="n"/>
    </row>
    <row r="890" ht="15.75" customHeight="1" s="121"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58" t="n"/>
      <c r="R890" s="27" t="n"/>
    </row>
    <row r="891" ht="15.75" customHeight="1" s="121"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58" t="n"/>
      <c r="R891" s="27" t="n"/>
    </row>
    <row r="892" ht="15.75" customHeight="1" s="121"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58" t="n"/>
      <c r="R892" s="27" t="n"/>
    </row>
    <row r="893" ht="15.75" customHeight="1" s="121"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58" t="n"/>
      <c r="R893" s="27" t="n"/>
    </row>
    <row r="894" ht="15.75" customHeight="1" s="121"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58" t="n"/>
      <c r="R894" s="27" t="n"/>
    </row>
    <row r="895" ht="15.75" customHeight="1" s="121"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58" t="n"/>
      <c r="R895" s="27" t="n"/>
    </row>
    <row r="896" ht="15.75" customHeight="1" s="121"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58" t="n"/>
      <c r="R896" s="27" t="n"/>
    </row>
    <row r="897" ht="15.75" customHeight="1" s="121"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58" t="n"/>
      <c r="R897" s="27" t="n"/>
    </row>
    <row r="898" ht="15.75" customHeight="1" s="121"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58" t="n"/>
      <c r="R898" s="27" t="n"/>
    </row>
    <row r="899" ht="15.75" customHeight="1" s="121"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58" t="n"/>
      <c r="R899" s="27" t="n"/>
    </row>
    <row r="900" ht="15.75" customHeight="1" s="121"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58" t="n"/>
      <c r="R900" s="27" t="n"/>
    </row>
    <row r="901" ht="15.75" customHeight="1" s="121"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58" t="n"/>
      <c r="R901" s="27" t="n"/>
    </row>
    <row r="902" ht="15.75" customHeight="1" s="121"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58" t="n"/>
      <c r="R902" s="27" t="n"/>
    </row>
    <row r="903" ht="15.75" customHeight="1" s="121"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58" t="n"/>
      <c r="R903" s="27" t="n"/>
    </row>
    <row r="904" ht="15.75" customHeight="1" s="121"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58" t="n"/>
      <c r="R904" s="27" t="n"/>
    </row>
    <row r="905" ht="15.75" customHeight="1" s="121"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58" t="n"/>
      <c r="R905" s="27" t="n"/>
    </row>
    <row r="906" ht="15.75" customHeight="1" s="121"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58" t="n"/>
      <c r="R906" s="27" t="n"/>
    </row>
    <row r="907" ht="15.75" customHeight="1" s="121"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58" t="n"/>
      <c r="R907" s="27" t="n"/>
    </row>
    <row r="908" ht="15.75" customHeight="1" s="121"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58" t="n"/>
      <c r="R908" s="27" t="n"/>
    </row>
    <row r="909" ht="15.75" customHeight="1" s="121"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58" t="n"/>
      <c r="R909" s="27" t="n"/>
    </row>
    <row r="910" ht="15.75" customHeight="1" s="121"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58" t="n"/>
      <c r="R910" s="27" t="n"/>
    </row>
    <row r="911" ht="15.75" customHeight="1" s="121"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58" t="n"/>
      <c r="R911" s="27" t="n"/>
    </row>
    <row r="912" ht="15.75" customHeight="1" s="121"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58" t="n"/>
      <c r="R912" s="27" t="n"/>
    </row>
    <row r="913" ht="15.75" customHeight="1" s="121"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58" t="n"/>
      <c r="R913" s="27" t="n"/>
    </row>
    <row r="914" ht="15.75" customHeight="1" s="121"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58" t="n"/>
      <c r="R914" s="27" t="n"/>
    </row>
    <row r="915" ht="15.75" customHeight="1" s="121"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58" t="n"/>
      <c r="R915" s="27" t="n"/>
    </row>
    <row r="916" ht="15.75" customHeight="1" s="121"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58" t="n"/>
      <c r="R916" s="27" t="n"/>
    </row>
    <row r="917" ht="15.75" customHeight="1" s="121"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58" t="n"/>
      <c r="R917" s="27" t="n"/>
    </row>
    <row r="918" ht="15.75" customHeight="1" s="121"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58" t="n"/>
      <c r="R918" s="27" t="n"/>
    </row>
    <row r="919" ht="15.75" customHeight="1" s="121"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58" t="n"/>
      <c r="R919" s="27" t="n"/>
    </row>
    <row r="920" ht="15.75" customHeight="1" s="121"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58" t="n"/>
      <c r="R920" s="27" t="n"/>
    </row>
    <row r="921" ht="15.75" customHeight="1" s="121"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58" t="n"/>
      <c r="R921" s="27" t="n"/>
    </row>
    <row r="922" ht="15.75" customHeight="1" s="121"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58" t="n"/>
      <c r="R922" s="27" t="n"/>
    </row>
    <row r="923" ht="15.75" customHeight="1" s="121"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58" t="n"/>
      <c r="R923" s="27" t="n"/>
    </row>
    <row r="924" ht="15.75" customHeight="1" s="121"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58" t="n"/>
      <c r="R924" s="27" t="n"/>
    </row>
    <row r="925" ht="15.75" customHeight="1" s="121"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58" t="n"/>
      <c r="R925" s="27" t="n"/>
    </row>
    <row r="926" ht="15.75" customHeight="1" s="121"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58" t="n"/>
      <c r="R926" s="27" t="n"/>
    </row>
    <row r="927" ht="15.75" customHeight="1" s="121"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58" t="n"/>
      <c r="R927" s="27" t="n"/>
    </row>
    <row r="928" ht="15.75" customHeight="1" s="121"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58" t="n"/>
      <c r="R928" s="27" t="n"/>
    </row>
    <row r="929" ht="15.75" customHeight="1" s="121"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58" t="n"/>
      <c r="R929" s="27" t="n"/>
    </row>
    <row r="930" ht="15.75" customHeight="1" s="121"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58" t="n"/>
      <c r="R930" s="27" t="n"/>
    </row>
    <row r="931" ht="15.75" customHeight="1" s="121"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58" t="n"/>
      <c r="R931" s="27" t="n"/>
    </row>
    <row r="932" ht="15.75" customHeight="1" s="121"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58" t="n"/>
      <c r="R932" s="27" t="n"/>
    </row>
    <row r="933" ht="15.75" customHeight="1" s="121"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58" t="n"/>
      <c r="R933" s="27" t="n"/>
    </row>
    <row r="934" ht="15.75" customHeight="1" s="121"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58" t="n"/>
      <c r="R934" s="27" t="n"/>
    </row>
    <row r="935" ht="15.75" customHeight="1" s="121"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58" t="n"/>
      <c r="R935" s="27" t="n"/>
    </row>
    <row r="936" ht="15.75" customHeight="1" s="121"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58" t="n"/>
      <c r="R936" s="27" t="n"/>
    </row>
    <row r="937" ht="15.75" customHeight="1" s="121"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58" t="n"/>
      <c r="R937" s="27" t="n"/>
    </row>
    <row r="938" ht="15.75" customHeight="1" s="121"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58" t="n"/>
      <c r="R938" s="27" t="n"/>
    </row>
    <row r="939" ht="15.75" customHeight="1" s="121"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58" t="n"/>
      <c r="R939" s="27" t="n"/>
    </row>
    <row r="940" ht="15.75" customHeight="1" s="121"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58" t="n"/>
      <c r="R940" s="27" t="n"/>
    </row>
    <row r="941" ht="15.75" customHeight="1" s="121"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58" t="n"/>
      <c r="R941" s="27" t="n"/>
    </row>
    <row r="942" ht="15.75" customHeight="1" s="121"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58" t="n"/>
      <c r="R942" s="27" t="n"/>
    </row>
    <row r="943" ht="15.75" customHeight="1" s="121"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58" t="n"/>
      <c r="R943" s="27" t="n"/>
    </row>
    <row r="944" ht="15.75" customHeight="1" s="121"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58" t="n"/>
      <c r="R944" s="27" t="n"/>
    </row>
    <row r="945" ht="15.75" customHeight="1" s="121"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58" t="n"/>
      <c r="R945" s="27" t="n"/>
    </row>
    <row r="946" ht="15.75" customHeight="1" s="121"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58" t="n"/>
      <c r="R946" s="27" t="n"/>
    </row>
    <row r="947" ht="15.75" customHeight="1" s="121"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58" t="n"/>
      <c r="R947" s="27" t="n"/>
    </row>
    <row r="948" ht="15.75" customHeight="1" s="121"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58" t="n"/>
      <c r="R948" s="27" t="n"/>
    </row>
    <row r="949" ht="15.75" customHeight="1" s="121"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58" t="n"/>
      <c r="R949" s="27" t="n"/>
    </row>
    <row r="950" ht="15.75" customHeight="1" s="121"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58" t="n"/>
      <c r="R950" s="27" t="n"/>
    </row>
    <row r="951" ht="15.75" customHeight="1" s="121"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58" t="n"/>
      <c r="R951" s="27" t="n"/>
    </row>
    <row r="952" ht="15.75" customHeight="1" s="121"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58" t="n"/>
      <c r="R952" s="27" t="n"/>
    </row>
    <row r="953" ht="15.75" customHeight="1" s="121"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58" t="n"/>
      <c r="R953" s="27" t="n"/>
    </row>
    <row r="954" ht="15.75" customHeight="1" s="121"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58" t="n"/>
      <c r="R954" s="27" t="n"/>
    </row>
    <row r="955" ht="15.75" customHeight="1" s="121"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58" t="n"/>
      <c r="R955" s="27" t="n"/>
    </row>
    <row r="956" ht="15.75" customHeight="1" s="121"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58" t="n"/>
      <c r="R956" s="27" t="n"/>
    </row>
    <row r="957" ht="15.75" customHeight="1" s="121"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58" t="n"/>
      <c r="R957" s="27" t="n"/>
    </row>
    <row r="958" ht="15.75" customHeight="1" s="121"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58" t="n"/>
      <c r="R958" s="27" t="n"/>
    </row>
    <row r="959" ht="15.75" customHeight="1" s="121"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58" t="n"/>
      <c r="R959" s="27" t="n"/>
    </row>
    <row r="960" ht="15.75" customHeight="1" s="121"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58" t="n"/>
      <c r="R960" s="27" t="n"/>
    </row>
    <row r="961" ht="15.75" customHeight="1" s="121"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58" t="n"/>
      <c r="R961" s="27" t="n"/>
    </row>
    <row r="962" ht="15.75" customHeight="1" s="121"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58" t="n"/>
      <c r="R962" s="27" t="n"/>
    </row>
    <row r="963" ht="15.75" customHeight="1" s="121"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58" t="n"/>
      <c r="R963" s="27" t="n"/>
    </row>
    <row r="964" ht="15.75" customHeight="1" s="121"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58" t="n"/>
      <c r="R964" s="27" t="n"/>
    </row>
    <row r="965" ht="15.75" customHeight="1" s="121"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58" t="n"/>
      <c r="R965" s="27" t="n"/>
    </row>
    <row r="966" ht="15.75" customHeight="1" s="121"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58" t="n"/>
      <c r="R966" s="27" t="n"/>
    </row>
    <row r="967" ht="15.75" customHeight="1" s="121"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58" t="n"/>
      <c r="R967" s="27" t="n"/>
    </row>
    <row r="968" ht="15.75" customHeight="1" s="121"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58" t="n"/>
      <c r="R968" s="27" t="n"/>
    </row>
    <row r="969" ht="15.75" customHeight="1" s="121"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58" t="n"/>
      <c r="R969" s="27" t="n"/>
    </row>
    <row r="970" ht="15.75" customHeight="1" s="121"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58" t="n"/>
      <c r="R970" s="27" t="n"/>
    </row>
    <row r="971" ht="15.75" customHeight="1" s="121"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58" t="n"/>
      <c r="R971" s="27" t="n"/>
    </row>
    <row r="972" ht="15.75" customHeight="1" s="121"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58" t="n"/>
      <c r="R972" s="27" t="n"/>
    </row>
    <row r="973" ht="15.75" customHeight="1" s="121"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58" t="n"/>
      <c r="R973" s="27" t="n"/>
    </row>
    <row r="974" ht="15.75" customHeight="1" s="121"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58" t="n"/>
      <c r="R974" s="27" t="n"/>
    </row>
    <row r="975" ht="15.75" customHeight="1" s="121"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58" t="n"/>
      <c r="R975" s="27" t="n"/>
    </row>
    <row r="976" ht="15.75" customHeight="1" s="121"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58" t="n"/>
      <c r="R976" s="27" t="n"/>
    </row>
    <row r="977" ht="15.75" customHeight="1" s="121"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58" t="n"/>
      <c r="R977" s="27" t="n"/>
    </row>
    <row r="978" ht="15.75" customHeight="1" s="121"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58" t="n"/>
      <c r="R978" s="27" t="n"/>
    </row>
    <row r="979" ht="15.75" customHeight="1" s="121"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58" t="n"/>
      <c r="R979" s="27" t="n"/>
    </row>
    <row r="980" ht="15.75" customHeight="1" s="121"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58" t="n"/>
      <c r="R980" s="27" t="n"/>
    </row>
    <row r="981" ht="15.75" customHeight="1" s="121"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58" t="n"/>
      <c r="R981" s="27" t="n"/>
    </row>
    <row r="982" ht="15.75" customHeight="1" s="121"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58" t="n"/>
      <c r="R982" s="27" t="n"/>
    </row>
    <row r="983" ht="15.75" customHeight="1" s="121"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58" t="n"/>
      <c r="R983" s="27" t="n"/>
    </row>
    <row r="984" ht="15.75" customHeight="1" s="121"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58" t="n"/>
      <c r="R984" s="27" t="n"/>
    </row>
    <row r="985" ht="15.75" customHeight="1" s="121"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58" t="n"/>
      <c r="R985" s="27" t="n"/>
    </row>
    <row r="986" ht="15.75" customHeight="1" s="121"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58" t="n"/>
      <c r="R986" s="27" t="n"/>
    </row>
    <row r="987" ht="15.75" customHeight="1" s="121"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58" t="n"/>
      <c r="R987" s="27" t="n"/>
    </row>
    <row r="988" ht="15.75" customHeight="1" s="121"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58" t="n"/>
      <c r="R988" s="27" t="n"/>
    </row>
    <row r="989" ht="15.75" customHeight="1" s="121"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58" t="n"/>
      <c r="R989" s="27" t="n"/>
    </row>
    <row r="990" ht="15.75" customHeight="1" s="121"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58" t="n"/>
      <c r="R990" s="27" t="n"/>
    </row>
    <row r="991" ht="15.75" customHeight="1" s="121"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58" t="n"/>
      <c r="R991" s="27" t="n"/>
    </row>
    <row r="992" ht="15.75" customHeight="1" s="121"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58" t="n"/>
      <c r="R992" s="27" t="n"/>
    </row>
    <row r="993" ht="15.75" customHeight="1" s="121"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58" t="n"/>
      <c r="R993" s="27" t="n"/>
    </row>
    <row r="994" ht="15.75" customHeight="1" s="121"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58" t="n"/>
      <c r="R994" s="27" t="n"/>
    </row>
    <row r="995" ht="15.75" customHeight="1" s="121"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58" t="n"/>
      <c r="R995" s="27" t="n"/>
    </row>
    <row r="996" ht="15.75" customHeight="1" s="121"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58" t="n"/>
      <c r="R996" s="27" t="n"/>
    </row>
    <row r="997" ht="15.75" customHeight="1" s="121"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58" t="n"/>
      <c r="R997" s="27" t="n"/>
    </row>
    <row r="998" ht="15.75" customHeight="1" s="121"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58" t="n"/>
      <c r="R998" s="27" t="n"/>
    </row>
    <row r="999" ht="15.75" customHeight="1" s="121"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58" t="n"/>
      <c r="R999" s="27" t="n"/>
    </row>
    <row r="1000" ht="15.75" customHeight="1" s="121"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58" t="n"/>
      <c r="R1000" s="27" t="n"/>
    </row>
  </sheetData>
  <autoFilter ref="$B$4:$R$45">
    <sortState ref="B4:R45">
      <sortCondition descending="1" ref="I4:I45"/>
    </sortState>
  </autoFilter>
  <mergeCells count="12">
    <mergeCell ref="B60:Q60"/>
    <mergeCell ref="B63:Q63"/>
    <mergeCell ref="B61:Q61"/>
    <mergeCell ref="B56:Q56"/>
    <mergeCell ref="B57:Q57"/>
    <mergeCell ref="B2:R2"/>
    <mergeCell ref="B58:Q58"/>
    <mergeCell ref="B62:Q62"/>
    <mergeCell ref="B64:Q64"/>
    <mergeCell ref="B55:Q55"/>
    <mergeCell ref="B59:Q59"/>
    <mergeCell ref="B1:R1"/>
  </mergeCells>
  <conditionalFormatting sqref="R5:R45">
    <cfRule type="expression" priority="1" dxfId="2">
      <formula>ISNUMBER(R5)</formula>
    </cfRule>
  </conditionalFormatting>
  <conditionalFormatting sqref="Q5:Q45">
    <cfRule type="cellIs" priority="2" operator="equal" dxfId="3">
      <formula>"YES — helps July"</formula>
    </cfRule>
    <cfRule type="cellIs" priority="3" operator="equal" dxfId="4">
      <formula>"Partial — late July only"</formula>
    </cfRule>
    <cfRule type="cellIs" priority="4" operator="equal" dxfId="5">
      <formula>"No — paid through mid-Aug+"</formula>
    </cfRule>
    <cfRule type="cellIs" priority="5" operator="equal" dxfId="5">
      <formula>"No (Czech notice runs to Oct)"</formula>
    </cfRule>
  </conditionalFormatting>
  <dataValidations count="1">
    <dataValidation sqref="I5:I45" showDropDown="0" showInputMessage="0" showErrorMessage="0" allowBlank="1" type="list">
      <formula1>"None,T1,T2,T3,T4"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A6FA5"/>
    <outlinePr summaryBelow="1" summaryRight="1"/>
    <pageSetUpPr/>
  </sheetPr>
  <dimension ref="B1:H27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30" customWidth="1" style="121" min="2" max="2"/>
    <col width="18" customWidth="1" style="121" min="3" max="3"/>
    <col width="16" customWidth="1" style="121" min="4" max="4"/>
    <col width="18" customWidth="1" style="121" min="5" max="5"/>
    <col width="16" customWidth="1" style="121" min="6" max="6"/>
    <col width="25.14" customWidth="1" style="121" min="7" max="7"/>
    <col width="66.86" customWidth="1" style="121" min="8" max="8"/>
    <col width="8.859999999999999" customWidth="1" style="121" min="9" max="9"/>
  </cols>
  <sheetData>
    <row r="1" ht="25.5" customHeight="1" s="121">
      <c r="B1" s="122" t="inlineStr">
        <is>
          <t>COST LINE ITEM LEVERS</t>
        </is>
      </c>
      <c r="C1" s="123" t="n"/>
      <c r="D1" s="123" t="n"/>
      <c r="E1" s="123" t="n"/>
      <c r="F1" s="123" t="n"/>
      <c r="G1" s="123" t="n"/>
      <c r="H1" s="124" t="n"/>
    </row>
    <row r="2" ht="18" customHeight="1" s="121">
      <c r="B2" s="140" t="inlineStr">
        <is>
          <t>Override Finance Forecast by Category  |  Yellow = editable  |  Positive adj = additional cash inflow</t>
        </is>
      </c>
      <c r="C2" s="123" t="n"/>
      <c r="D2" s="123" t="n"/>
      <c r="E2" s="123" t="n"/>
      <c r="F2" s="123" t="n"/>
      <c r="G2" s="123" t="n"/>
      <c r="H2" s="124" t="n"/>
    </row>
    <row r="3">
      <c r="C3" s="27" t="n"/>
      <c r="D3" s="27" t="n"/>
      <c r="E3" s="27" t="n"/>
      <c r="F3" s="27" t="n"/>
      <c r="G3" s="27" t="n"/>
    </row>
    <row r="4" ht="27.75" customHeight="1" s="121">
      <c r="B4" s="60" t="inlineStr">
        <is>
          <t>Line Item</t>
        </is>
      </c>
      <c r="C4" s="60" t="inlineStr">
        <is>
          <t>Finance Forecast (34 wks)</t>
        </is>
      </c>
      <c r="D4" s="60" t="inlineStr">
        <is>
          <t>Monthly Avg</t>
        </is>
      </c>
      <c r="E4" s="60" t="inlineStr">
        <is>
          <t>Annual Adjustment</t>
        </is>
      </c>
      <c r="F4" s="60" t="inlineStr">
        <is>
          <t>Adjusted Total</t>
        </is>
      </c>
      <c r="G4" s="60" t="inlineStr">
        <is>
          <t>Weekly Impact</t>
        </is>
      </c>
      <c r="H4" s="60" t="inlineStr">
        <is>
          <t>Notes / Rationale</t>
        </is>
      </c>
    </row>
    <row r="5" ht="21.75" customHeight="1" s="121">
      <c r="B5" s="35" t="inlineStr">
        <is>
          <t>AWS Fees</t>
        </is>
      </c>
      <c r="C5" s="63" t="n">
        <v>-2484728</v>
      </c>
      <c r="D5" s="70">
        <f>C5/7.85</f>
        <v/>
      </c>
      <c r="E5" s="90" t="n">
        <v>0</v>
      </c>
      <c r="F5" s="91">
        <f>C5+E5</f>
        <v/>
      </c>
      <c r="G5" s="70">
        <f>E5/34</f>
        <v/>
      </c>
      <c r="H5" s="92" t="inlineStr">
        <is>
          <t>See 05_AWS_Analysis for detailed scenario modeling</t>
        </is>
      </c>
    </row>
    <row r="6" ht="21.75" customHeight="1" s="121">
      <c r="B6" s="37" t="inlineStr">
        <is>
          <t>Zoom / Microsoft / OpenLMS</t>
        </is>
      </c>
      <c r="C6" s="74" t="n">
        <v>-2495302</v>
      </c>
      <c r="D6" s="70">
        <f>C6/7.85</f>
        <v/>
      </c>
      <c r="E6" s="90" t="n">
        <v>0</v>
      </c>
      <c r="F6" s="91">
        <f>C6+E6</f>
        <v/>
      </c>
      <c r="G6" s="70">
        <f>E6/34</f>
        <v/>
      </c>
      <c r="H6" s="93" t="inlineStr">
        <is>
          <t>Vendor renegotiation; Zoom-to-ICS migration savings beyond AWS</t>
        </is>
      </c>
    </row>
    <row r="7" ht="21.75" customHeight="1" s="121">
      <c r="B7" s="35" t="inlineStr">
        <is>
          <t>Software Subscriptions</t>
        </is>
      </c>
      <c r="C7" s="63" t="n">
        <v>-626469</v>
      </c>
      <c r="D7" s="70">
        <f>C7/7.85</f>
        <v/>
      </c>
      <c r="E7" s="90" t="n">
        <v>0</v>
      </c>
      <c r="F7" s="91">
        <f>C7+E7</f>
        <v/>
      </c>
      <c r="G7" s="70">
        <f>E7/34</f>
        <v/>
      </c>
      <c r="H7" s="92" t="inlineStr">
        <is>
          <t>Subscription audit / cancellations / consolidation</t>
        </is>
      </c>
    </row>
    <row r="8" ht="21.75" customHeight="1" s="121">
      <c r="B8" s="37" t="inlineStr">
        <is>
          <t>Legal Fees &amp; Settlements</t>
        </is>
      </c>
      <c r="C8" s="74" t="n">
        <v>-298000</v>
      </c>
      <c r="D8" s="70">
        <f>C8/7.85</f>
        <v/>
      </c>
      <c r="E8" s="90" t="n">
        <v>0</v>
      </c>
      <c r="F8" s="91">
        <f>C8+E8</f>
        <v/>
      </c>
      <c r="G8" s="70">
        <f>E8/34</f>
        <v/>
      </c>
      <c r="H8" s="93" t="inlineStr">
        <is>
          <t>Settlement timing; reduce engagement scope</t>
        </is>
      </c>
    </row>
    <row r="9" ht="21.75" customHeight="1" s="121">
      <c r="B9" s="35" t="inlineStr">
        <is>
          <t>Agency Contractors</t>
        </is>
      </c>
      <c r="C9" s="63" t="n">
        <v>-905589</v>
      </c>
      <c r="D9" s="70">
        <f>C9/7.85</f>
        <v/>
      </c>
      <c r="E9" s="90" t="n">
        <v>0</v>
      </c>
      <c r="F9" s="91">
        <f>C9+E9</f>
        <v/>
      </c>
      <c r="G9" s="70">
        <f>E9/34</f>
        <v/>
      </c>
      <c r="H9" s="92" t="inlineStr">
        <is>
          <t>Pause non-essential contractors</t>
        </is>
      </c>
    </row>
    <row r="10" ht="21.75" customHeight="1" s="121">
      <c r="B10" s="37" t="inlineStr">
        <is>
          <t>Marketing Programs</t>
        </is>
      </c>
      <c r="C10" s="74" t="n">
        <v>-148000</v>
      </c>
      <c r="D10" s="70">
        <f>C10/7.85</f>
        <v/>
      </c>
      <c r="E10" s="90" t="n">
        <v>0</v>
      </c>
      <c r="F10" s="91">
        <f>C10+E10</f>
        <v/>
      </c>
      <c r="G10" s="70">
        <f>E10/34</f>
        <v/>
      </c>
      <c r="H10" s="93" t="inlineStr">
        <is>
          <t>Pause non-essential marketing (already $4K/wk)</t>
        </is>
      </c>
    </row>
    <row r="11" ht="21.75" customHeight="1" s="121">
      <c r="B11" s="35" t="inlineStr">
        <is>
          <t>Class/Collaborate Collections</t>
        </is>
      </c>
      <c r="C11" s="63" t="n">
        <v>8050000</v>
      </c>
      <c r="D11" s="70">
        <f>C11/7.85</f>
        <v/>
      </c>
      <c r="E11" s="90" t="n">
        <v>0</v>
      </c>
      <c r="F11" s="91">
        <f>C11+E11</f>
        <v/>
      </c>
      <c r="G11" s="70">
        <f>E11/34</f>
        <v/>
      </c>
      <c r="H11" s="92" t="inlineStr">
        <is>
          <t>AR acceleration — push Anthology, faster invoicing</t>
        </is>
      </c>
    </row>
    <row r="12" ht="21.75" customHeight="1" s="121">
      <c r="B12" s="37" t="inlineStr">
        <is>
          <t>BME Collections</t>
        </is>
      </c>
      <c r="C12" s="74" t="n">
        <v>1750000</v>
      </c>
      <c r="D12" s="70">
        <f>C12/7.85</f>
        <v/>
      </c>
      <c r="E12" s="90" t="n">
        <v>0</v>
      </c>
      <c r="F12" s="91">
        <f>C12+E12</f>
        <v/>
      </c>
      <c r="G12" s="70">
        <f>E12/34</f>
        <v/>
      </c>
      <c r="H12" s="93" t="inlineStr">
        <is>
          <t>BME Saudi old AR collection efforts ($1.4M overdue from 2022-23)</t>
        </is>
      </c>
    </row>
    <row r="13" ht="21.75" customHeight="1" s="121">
      <c r="B13" s="35" t="inlineStr">
        <is>
          <t>Blackboard Collections</t>
        </is>
      </c>
      <c r="C13" s="63" t="n">
        <v>2860000</v>
      </c>
      <c r="D13" s="70">
        <f>C13/7.85</f>
        <v/>
      </c>
      <c r="E13" s="90" t="n">
        <v>0</v>
      </c>
      <c r="F13" s="91">
        <f>C13+E13</f>
        <v/>
      </c>
      <c r="G13" s="70">
        <f>E13/34</f>
        <v/>
      </c>
      <c r="H13" s="92" t="inlineStr">
        <is>
          <t>Channel collection timing</t>
        </is>
      </c>
    </row>
    <row r="14" ht="21.75" customHeight="1" s="121">
      <c r="B14" s="37" t="inlineStr">
        <is>
          <t>CoSo TSA Collections</t>
        </is>
      </c>
      <c r="C14" s="74" t="n">
        <v>1700000</v>
      </c>
      <c r="D14" s="70">
        <f>C14/7.85</f>
        <v/>
      </c>
      <c r="E14" s="90" t="n">
        <v>0</v>
      </c>
      <c r="F14" s="91">
        <f>C14+E14</f>
        <v/>
      </c>
      <c r="G14" s="70">
        <f>E14/34</f>
        <v/>
      </c>
      <c r="H14" s="93" t="inlineStr">
        <is>
          <t>Knox TSA payments — pulled forward?</t>
        </is>
      </c>
    </row>
    <row r="15" ht="6" customHeight="1" s="121">
      <c r="C15" s="27" t="n"/>
      <c r="D15" s="27" t="n"/>
      <c r="E15" s="27" t="n"/>
      <c r="F15" s="27" t="n"/>
      <c r="G15" s="27" t="n"/>
    </row>
    <row r="16">
      <c r="B16" s="94" t="inlineStr">
        <is>
          <t>TOTAL ADJUSTMENT (weekly impact applied to baseline)</t>
        </is>
      </c>
      <c r="C16" s="82" t="n"/>
      <c r="D16" s="82" t="n"/>
      <c r="E16" s="95">
        <f>SUM(E5:E14)</f>
        <v/>
      </c>
      <c r="F16" s="82" t="n"/>
      <c r="G16" s="95">
        <f>SUM(G5:G14)</f>
        <v/>
      </c>
      <c r="H16" s="81" t="n"/>
    </row>
    <row r="17">
      <c r="C17" s="27" t="n"/>
      <c r="D17" s="27" t="n"/>
      <c r="E17" s="27" t="n"/>
      <c r="F17" s="27" t="n"/>
      <c r="G17" s="27" t="n"/>
    </row>
    <row r="18">
      <c r="C18" s="27" t="n"/>
      <c r="D18" s="27" t="n"/>
      <c r="E18" s="27" t="n"/>
      <c r="F18" s="27" t="n"/>
      <c r="G18" s="27" t="n"/>
    </row>
    <row r="19" ht="21.75" customHeight="1" s="121">
      <c r="B19" s="137" t="inlineStr">
        <is>
          <t>HOW THIS WORKS</t>
        </is>
      </c>
      <c r="C19" s="123" t="n"/>
      <c r="D19" s="123" t="n"/>
      <c r="E19" s="123" t="n"/>
      <c r="F19" s="123" t="n"/>
      <c r="G19" s="123" t="n"/>
      <c r="H19" s="124" t="n"/>
    </row>
    <row r="20" ht="18" customHeight="1" s="121">
      <c r="B20" s="92" t="inlineStr">
        <is>
          <t>1. Finance Forecast column = the 34-week (W20-W53) total from the Finance Cash Flow Model May 10 snapshot.</t>
        </is>
      </c>
      <c r="C20" s="123" t="n"/>
      <c r="D20" s="123" t="n"/>
      <c r="E20" s="123" t="n"/>
      <c r="F20" s="123" t="n"/>
      <c r="G20" s="123" t="n"/>
      <c r="H20" s="124" t="n"/>
    </row>
    <row r="21" ht="18" customHeight="1" s="121">
      <c r="B21" s="92" t="inlineStr">
        <is>
          <t>2. Enter your adjustment in the Annual Adjustment column (POSITIVE numbers = additional cash benefit).</t>
        </is>
      </c>
      <c r="C21" s="123" t="n"/>
      <c r="D21" s="123" t="n"/>
      <c r="E21" s="123" t="n"/>
      <c r="F21" s="123" t="n"/>
      <c r="G21" s="123" t="n"/>
      <c r="H21" s="124" t="n"/>
    </row>
    <row r="22" ht="18" customHeight="1" s="121">
      <c r="B22" s="92" t="inlineStr">
        <is>
          <t>3. Example: if you think AWS will come in $300K under Finance forecast, enter +300000 → spread over 34 weeks (~$8,800/wk benefit).</t>
        </is>
      </c>
      <c r="C22" s="123" t="n"/>
      <c r="D22" s="123" t="n"/>
      <c r="E22" s="123" t="n"/>
      <c r="F22" s="123" t="n"/>
      <c r="G22" s="123" t="n"/>
      <c r="H22" s="124" t="n"/>
    </row>
    <row r="23" ht="18" customHeight="1" s="121">
      <c r="B23" s="92" t="inlineStr">
        <is>
          <t>4. Example: if AR acceleration pulls $500K of Class collections forward by 30 days, enter +500000 → adds ~$15K/wk to inflows.</t>
        </is>
      </c>
      <c r="C23" s="123" t="n"/>
      <c r="D23" s="123" t="n"/>
      <c r="E23" s="123" t="n"/>
      <c r="F23" s="123" t="n"/>
      <c r="G23" s="123" t="n"/>
      <c r="H23" s="124" t="n"/>
    </row>
    <row r="24" ht="18" customHeight="1" s="121">
      <c r="B24" s="92" t="inlineStr">
        <is>
          <t>5. The Weekly Engine sheet uses this total to adjust the cash path week-by-week.</t>
        </is>
      </c>
      <c r="C24" s="123" t="n"/>
      <c r="D24" s="123" t="n"/>
      <c r="E24" s="123" t="n"/>
      <c r="F24" s="123" t="n"/>
      <c r="G24" s="123" t="n"/>
      <c r="H24" s="124" t="n"/>
    </row>
    <row r="25" ht="18" customHeight="1" s="121">
      <c r="B25" s="92" t="inlineStr">
        <is>
          <t>6. For AWS specifically: see 05_AWS_Analysis for a structured scenario model — copy the desired result back to E5.</t>
        </is>
      </c>
      <c r="C25" s="123" t="n"/>
      <c r="D25" s="123" t="n"/>
      <c r="E25" s="123" t="n"/>
      <c r="F25" s="123" t="n"/>
      <c r="G25" s="123" t="n"/>
      <c r="H25" s="124" t="n"/>
    </row>
    <row r="26" ht="18" customHeight="1" s="121">
      <c r="B26" s="92" t="inlineStr">
        <is>
          <t>7. For NetSuite variance analysis (where Finance may be conservative): see 06_NS_Variance.</t>
        </is>
      </c>
      <c r="C26" s="123" t="n"/>
      <c r="D26" s="123" t="n"/>
      <c r="E26" s="123" t="n"/>
      <c r="F26" s="123" t="n"/>
      <c r="G26" s="123" t="n"/>
      <c r="H26" s="124" t="n"/>
    </row>
    <row r="27" ht="15.75" customHeight="1" s="121">
      <c r="C27" s="27" t="n"/>
      <c r="D27" s="27" t="n"/>
      <c r="E27" s="27" t="n"/>
      <c r="F27" s="27" t="n"/>
      <c r="G27" s="27" t="n"/>
    </row>
  </sheetData>
  <mergeCells count="10">
    <mergeCell ref="B22:H22"/>
    <mergeCell ref="B26:H26"/>
    <mergeCell ref="B1:H1"/>
    <mergeCell ref="B21:H21"/>
    <mergeCell ref="B24:H24"/>
    <mergeCell ref="B2:H2"/>
    <mergeCell ref="B25:H25"/>
    <mergeCell ref="B19:H19"/>
    <mergeCell ref="B20:H20"/>
    <mergeCell ref="B23:H2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4A6FA5"/>
    <outlinePr summaryBelow="1" summaryRight="1"/>
    <pageSetUpPr/>
  </sheetPr>
  <dimension ref="B1:G1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24" customWidth="1" style="121" min="2" max="2"/>
    <col width="28" customWidth="1" style="121" min="3" max="3"/>
    <col width="20" customWidth="1" style="121" min="4" max="4"/>
    <col width="36.57" customWidth="1" style="121" min="5" max="5"/>
    <col width="38.86" customWidth="1" style="121" min="6" max="6"/>
    <col width="32" customWidth="1" style="121" min="7" max="7"/>
    <col width="1.43" customWidth="1" style="121" min="8" max="8"/>
  </cols>
  <sheetData>
    <row r="1" ht="25.5" customHeight="1" s="121">
      <c r="B1" s="122" t="inlineStr">
        <is>
          <t>NEW SALES BOOKINGS — CASH CONVERSION</t>
        </is>
      </c>
      <c r="C1" s="123" t="n"/>
      <c r="D1" s="123" t="n"/>
      <c r="E1" s="123" t="n"/>
      <c r="F1" s="123" t="n"/>
      <c r="G1" s="124" t="n"/>
    </row>
    <row r="2" ht="18" customHeight="1" s="121">
      <c r="B2" s="140" t="inlineStr">
        <is>
          <t>Projection: $350K CoSo + $350K Class per quarter  |  60-day lag to cash</t>
        </is>
      </c>
      <c r="C2" s="123" t="n"/>
      <c r="D2" s="123" t="n"/>
      <c r="E2" s="123" t="n"/>
      <c r="F2" s="123" t="n"/>
      <c r="G2" s="124" t="n"/>
    </row>
    <row r="4" ht="27.75" customHeight="1" s="121">
      <c r="B4" s="60" t="inlineStr">
        <is>
          <t>Period</t>
        </is>
      </c>
      <c r="C4" s="97" t="inlineStr">
        <is>
          <t>Bookings Type</t>
        </is>
      </c>
      <c r="D4" s="60" t="inlineStr">
        <is>
          <t>Annual Bookings $</t>
        </is>
      </c>
      <c r="E4" s="97" t="inlineStr">
        <is>
          <t>Cash Arrival Period</t>
        </is>
      </c>
      <c r="F4" s="97" t="inlineStr">
        <is>
          <t>Cash to Forecast</t>
        </is>
      </c>
      <c r="G4" s="60" t="inlineStr">
        <is>
          <t>Notes</t>
        </is>
      </c>
    </row>
    <row r="5" ht="21.75" customHeight="1" s="121">
      <c r="B5" s="98" t="inlineStr">
        <is>
          <t>Q2 2026</t>
        </is>
      </c>
      <c r="C5" s="51" t="inlineStr">
        <is>
          <t>CoSo (Consulting)</t>
        </is>
      </c>
      <c r="D5" s="90" t="n">
        <v>350000</v>
      </c>
      <c r="E5" s="51" t="inlineStr">
        <is>
          <t>Late Aug - Mid Sep (W34-W36)</t>
        </is>
      </c>
      <c r="F5" s="92" t="inlineStr">
        <is>
          <t>July impact: $0 — too late to help trough</t>
        </is>
      </c>
      <c r="G5" s="27" t="n"/>
    </row>
    <row r="6" ht="21.75" customHeight="1" s="121">
      <c r="B6" s="89" t="inlineStr">
        <is>
          <t>Q2 2026</t>
        </is>
      </c>
      <c r="C6" s="76" t="inlineStr">
        <is>
          <t>Class (New Logos)</t>
        </is>
      </c>
      <c r="D6" s="90" t="n">
        <v>350000</v>
      </c>
      <c r="E6" s="76" t="inlineStr">
        <is>
          <t>Late Aug - Mid Sep (W34-W36)</t>
        </is>
      </c>
      <c r="F6" s="93" t="inlineStr">
        <is>
          <t>July impact: $0 — too late to help trough</t>
        </is>
      </c>
      <c r="G6" s="27" t="n"/>
    </row>
    <row r="7" ht="21.75" customHeight="1" s="121">
      <c r="B7" s="98" t="inlineStr">
        <is>
          <t>Q3 2026</t>
        </is>
      </c>
      <c r="C7" s="51" t="inlineStr">
        <is>
          <t>Combined CoSo + Class</t>
        </is>
      </c>
      <c r="D7" s="90" t="n">
        <v>700000</v>
      </c>
      <c r="E7" s="51" t="inlineStr">
        <is>
          <t>Late Nov - Mid Dec (W47-W49)</t>
        </is>
      </c>
      <c r="F7" s="92" t="inlineStr">
        <is>
          <t>Helps Q4 cash, not July</t>
        </is>
      </c>
      <c r="G7" s="27" t="n"/>
    </row>
    <row r="8" ht="21.75" customHeight="1" s="121">
      <c r="B8" s="89" t="inlineStr">
        <is>
          <t>Q4 2026</t>
        </is>
      </c>
      <c r="C8" s="76" t="inlineStr">
        <is>
          <t>Combined CoSo + Class</t>
        </is>
      </c>
      <c r="D8" s="90" t="n">
        <v>700000</v>
      </c>
      <c r="E8" s="76" t="inlineStr">
        <is>
          <t>Feb-Mar 2027 (mostly outside forecast)</t>
        </is>
      </c>
      <c r="F8" s="93" t="inlineStr">
        <is>
          <t>Outside W53 forecast endpoint</t>
        </is>
      </c>
      <c r="G8" s="27" t="n"/>
    </row>
    <row r="9">
      <c r="B9" s="27" t="n"/>
      <c r="C9" s="27" t="n"/>
      <c r="D9" s="27" t="n"/>
      <c r="E9" s="27" t="n"/>
      <c r="F9" s="27" t="n"/>
      <c r="G9" s="27" t="n"/>
    </row>
    <row r="10" ht="51.75" customHeight="1" s="121">
      <c r="B10" s="143" t="inlineStr">
        <is>
          <t>New sales bookings DO NOT help the July trough. Any deal closing now or in May/June will not collect for 30-60 days (best case). Q2 bookings close by June 30 → cash arrives August-September. Q1 bookings ALREADY closed are already in the Finance Baseline Class collections line. Only AR acceleration on EXISTING receivables could help July. See 03_Cost_Levers for that lever.</t>
        </is>
      </c>
      <c r="C10" s="123" t="n"/>
      <c r="D10" s="123" t="n"/>
      <c r="E10" s="123" t="n"/>
      <c r="F10" s="123" t="n"/>
      <c r="G10" s="124" t="n"/>
    </row>
  </sheetData>
  <mergeCells count="3">
    <mergeCell ref="B2:G2"/>
    <mergeCell ref="B10:G10"/>
    <mergeCell ref="B1:G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9AA8BD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39.29" customWidth="1" style="121" min="2" max="2"/>
    <col width="22.71" customWidth="1" style="121" min="3" max="7"/>
    <col width="32" customWidth="1" style="121" min="8" max="8"/>
    <col width="2" customWidth="1" style="121" min="9" max="9"/>
  </cols>
  <sheetData>
    <row r="1" ht="25.5" customHeight="1" s="121">
      <c r="A1" s="100" t="n"/>
      <c r="B1" s="122" t="inlineStr">
        <is>
          <t>AWS COST DEEP DIVE &amp; SCENARIO MODELING</t>
        </is>
      </c>
      <c r="C1" s="123" t="n"/>
      <c r="D1" s="123" t="n"/>
      <c r="E1" s="123" t="n"/>
      <c r="F1" s="123" t="n"/>
      <c r="G1" s="123" t="n"/>
      <c r="H1" s="123" t="n"/>
      <c r="I1" s="124" t="n"/>
    </row>
    <row r="2" ht="18" customHeight="1" s="121">
      <c r="A2" s="100" t="n"/>
      <c r="B2" s="140" t="inlineStr">
        <is>
          <t>Estimated breakdown + reduction levers  |  Source: Board deck + NS GL + assumptions</t>
        </is>
      </c>
      <c r="C2" s="123" t="n"/>
      <c r="D2" s="123" t="n"/>
      <c r="E2" s="123" t="n"/>
      <c r="F2" s="123" t="n"/>
      <c r="G2" s="123" t="n"/>
      <c r="H2" s="123" t="n"/>
      <c r="I2" s="124" t="n"/>
    </row>
    <row r="3">
      <c r="A3" s="101" t="n"/>
      <c r="B3" s="100" t="n"/>
      <c r="C3" s="100" t="n"/>
      <c r="D3" s="100" t="n"/>
      <c r="E3" s="100" t="n"/>
      <c r="F3" s="100" t="n"/>
      <c r="G3" s="100" t="n"/>
      <c r="H3" s="101" t="n"/>
      <c r="I3" s="101" t="n"/>
    </row>
    <row r="4" ht="15.75" customHeight="1" s="121">
      <c r="A4" s="101" t="n"/>
      <c r="B4" s="144" t="inlineStr">
        <is>
          <t>KEY TAKEAWAY ON AWS</t>
        </is>
      </c>
      <c r="C4" s="123" t="n"/>
      <c r="D4" s="123" t="n"/>
      <c r="E4" s="123" t="n"/>
      <c r="F4" s="123" t="n"/>
      <c r="G4" s="123" t="n"/>
      <c r="H4" s="124" t="n"/>
      <c r="I4" s="101" t="n"/>
    </row>
    <row r="5" ht="54.75" customHeight="1" s="121">
      <c r="A5" s="101" t="n"/>
      <c r="B5" s="145" t="inlineStr">
        <is>
          <t>Finance Forecast AWS at $258K-$317K/month for Jul-Sep is already pricing in the ICS migration savings (-$85K/mo). NS actuals show hosting still running $443K/month in April (pre-completion). May-June should show further reduction. ADDITIONAL AWS savings beyond Finance forecast are LIMITED to ~$23K-30K/month realistically achievable by mid-July (dev env shutoff + S3 lifecycle). This is real but modest — under $30K of July trough benefit. The AWS story is largely already in the baseline. AWS is not the silver bullet for July.</t>
        </is>
      </c>
      <c r="C5" s="123" t="n"/>
      <c r="D5" s="123" t="n"/>
      <c r="E5" s="123" t="n"/>
      <c r="F5" s="123" t="n"/>
      <c r="G5" s="123" t="n"/>
      <c r="H5" s="124" t="n"/>
      <c r="I5" s="101" t="n"/>
    </row>
    <row r="6" ht="15.75" customHeight="1" s="121">
      <c r="A6" s="101" t="n"/>
      <c r="B6" s="100" t="n"/>
      <c r="C6" s="100" t="n"/>
      <c r="D6" s="100" t="n"/>
      <c r="E6" s="100" t="n"/>
      <c r="F6" s="100" t="n"/>
      <c r="G6" s="100" t="n"/>
      <c r="H6" s="101" t="n"/>
      <c r="I6" s="101" t="n"/>
    </row>
    <row r="7" ht="21.75" customHeight="1" s="121">
      <c r="A7" s="101" t="n"/>
      <c r="B7" s="144" t="inlineStr">
        <is>
          <t>COMPONENT BREAKDOWN — ESTIMATED</t>
        </is>
      </c>
      <c r="C7" s="123" t="n"/>
      <c r="D7" s="123" t="n"/>
      <c r="E7" s="123" t="n"/>
      <c r="F7" s="123" t="n"/>
      <c r="G7" s="123" t="n"/>
      <c r="H7" s="124" t="n"/>
      <c r="I7" s="101" t="n"/>
    </row>
    <row r="8" ht="27.75" customHeight="1" s="121">
      <c r="A8" s="101" t="n"/>
      <c r="B8" s="60" t="inlineStr">
        <is>
          <t>Component</t>
        </is>
      </c>
      <c r="C8" s="60" t="inlineStr">
        <is>
          <t>Pre-ICS Run-Rate</t>
        </is>
      </c>
      <c r="D8" s="60" t="inlineStr">
        <is>
          <t>Post-ICS Run-Rate</t>
        </is>
      </c>
      <c r="E8" s="60" t="inlineStr">
        <is>
          <t>Monthly Savings</t>
        </is>
      </c>
      <c r="F8" s="60" t="inlineStr">
        <is>
          <t>Status</t>
        </is>
      </c>
      <c r="G8" s="60" t="inlineStr">
        <is>
          <t>Verification</t>
        </is>
      </c>
      <c r="H8" s="97" t="inlineStr">
        <is>
          <t>Notes</t>
        </is>
      </c>
      <c r="I8" s="101" t="n"/>
    </row>
    <row r="9">
      <c r="A9" s="101" t="n"/>
      <c r="B9" s="62" t="inlineStr">
        <is>
          <t>Production Hosting — South America</t>
        </is>
      </c>
      <c r="C9" s="63" t="n">
        <v>14400</v>
      </c>
      <c r="D9" s="63" t="n">
        <v>0</v>
      </c>
      <c r="E9" s="63" t="n">
        <v>14400</v>
      </c>
      <c r="F9" s="62" t="inlineStr">
        <is>
          <t>Complete</t>
        </is>
      </c>
      <c r="G9" s="62" t="inlineStr">
        <is>
          <t>Board deck slide 14</t>
        </is>
      </c>
      <c r="H9" s="51" t="inlineStr">
        <is>
          <t>Migrated to ICS</t>
        </is>
      </c>
      <c r="I9" s="101" t="n"/>
    </row>
    <row r="10">
      <c r="A10" s="101" t="n"/>
      <c r="B10" s="72" t="inlineStr">
        <is>
          <t>Production Hosting — North America</t>
        </is>
      </c>
      <c r="C10" s="74" t="n">
        <v>38940</v>
      </c>
      <c r="D10" s="74" t="n">
        <v>11040</v>
      </c>
      <c r="E10" s="74" t="n">
        <v>27900</v>
      </c>
      <c r="F10" s="72" t="inlineStr">
        <is>
          <t>Complete</t>
        </is>
      </c>
      <c r="G10" s="72" t="inlineStr">
        <is>
          <t>Board deck slide 13</t>
        </is>
      </c>
      <c r="H10" s="76" t="inlineStr">
        <is>
          <t>$930/day savings</t>
        </is>
      </c>
      <c r="I10" s="101" t="n"/>
    </row>
    <row r="11">
      <c r="A11" s="101" t="n"/>
      <c r="B11" s="62" t="inlineStr">
        <is>
          <t>Production Hosting — Europe</t>
        </is>
      </c>
      <c r="C11" s="63" t="n">
        <v>58410</v>
      </c>
      <c r="D11" s="63" t="n">
        <v>15120</v>
      </c>
      <c r="E11" s="63" t="n">
        <v>43290</v>
      </c>
      <c r="F11" s="62" t="inlineStr">
        <is>
          <t>Complete</t>
        </is>
      </c>
      <c r="G11" s="62" t="inlineStr">
        <is>
          <t>Board deck slide 12</t>
        </is>
      </c>
      <c r="H11" s="51" t="inlineStr">
        <is>
          <t>$1,443/day savings</t>
        </is>
      </c>
      <c r="I11" s="101" t="n"/>
    </row>
    <row r="12">
      <c r="A12" s="101" t="n"/>
      <c r="B12" s="80" t="inlineStr">
        <is>
          <t>Subtotal ICS-related savings</t>
        </is>
      </c>
      <c r="C12" s="95" t="n">
        <v>111750</v>
      </c>
      <c r="D12" s="95" t="n">
        <v>26160</v>
      </c>
      <c r="E12" s="95" t="n">
        <v>85590</v>
      </c>
      <c r="F12" s="80" t="inlineStr">
        <is>
          <t>Realized</t>
        </is>
      </c>
      <c r="G12" s="80" t="inlineStr">
        <is>
          <t>Board deck</t>
        </is>
      </c>
      <c r="H12" s="94" t="inlineStr">
        <is>
          <t>~$85K/mo run-rate savings</t>
        </is>
      </c>
      <c r="I12" s="101" t="n"/>
    </row>
    <row r="13" ht="15" customHeight="1" s="121">
      <c r="A13" s="101" t="n"/>
      <c r="B13" s="100" t="n"/>
      <c r="C13" s="100" t="n"/>
      <c r="D13" s="100" t="n"/>
      <c r="E13" s="100" t="n"/>
      <c r="F13" s="100" t="n"/>
      <c r="G13" s="100" t="n"/>
      <c r="H13" s="101" t="n"/>
      <c r="I13" s="101" t="n"/>
    </row>
    <row r="14">
      <c r="A14" s="101" t="n"/>
      <c r="B14" s="72" t="inlineStr">
        <is>
          <t>Dev/Staging Environments</t>
        </is>
      </c>
      <c r="C14" s="74" t="n">
        <v>50000</v>
      </c>
      <c r="D14" s="74" t="n">
        <v>50000</v>
      </c>
      <c r="E14" s="74" t="n">
        <v>0</v>
      </c>
      <c r="F14" s="72" t="inlineStr">
        <is>
          <t>Stable</t>
        </is>
      </c>
      <c r="G14" s="72" t="inlineStr">
        <is>
          <t>Estimated</t>
        </is>
      </c>
      <c r="H14" s="76" t="inlineStr">
        <is>
          <t>Could reduce via auto-shutoff: -$15K/mo</t>
        </is>
      </c>
      <c r="I14" s="101" t="n"/>
    </row>
    <row r="15">
      <c r="A15" s="101" t="n"/>
      <c r="B15" s="62" t="inlineStr">
        <is>
          <t>Data Transfer / Egress</t>
        </is>
      </c>
      <c r="C15" s="63" t="n">
        <v>30000</v>
      </c>
      <c r="D15" s="63" t="n">
        <v>30000</v>
      </c>
      <c r="E15" s="63" t="n">
        <v>0</v>
      </c>
      <c r="F15" s="62" t="inlineStr">
        <is>
          <t>Stable</t>
        </is>
      </c>
      <c r="G15" s="62" t="inlineStr">
        <is>
          <t>Estimated</t>
        </is>
      </c>
      <c r="H15" s="51" t="inlineStr">
        <is>
          <t>Could optimize: -$5-10K/mo</t>
        </is>
      </c>
      <c r="I15" s="101" t="n"/>
    </row>
    <row r="16">
      <c r="A16" s="101" t="n"/>
      <c r="B16" s="72" t="inlineStr">
        <is>
          <t>Storage (S3, EBS)</t>
        </is>
      </c>
      <c r="C16" s="74" t="n">
        <v>30000</v>
      </c>
      <c r="D16" s="74" t="n">
        <v>30000</v>
      </c>
      <c r="E16" s="74" t="n">
        <v>0</v>
      </c>
      <c r="F16" s="72" t="inlineStr">
        <is>
          <t>Stable</t>
        </is>
      </c>
      <c r="G16" s="72" t="inlineStr">
        <is>
          <t>Estimated</t>
        </is>
      </c>
      <c r="H16" s="76" t="inlineStr">
        <is>
          <t>S3 lifecycle policy: -$5-10K/mo</t>
        </is>
      </c>
      <c r="I16" s="101" t="n"/>
    </row>
    <row r="17">
      <c r="A17" s="101" t="n"/>
      <c r="B17" s="62" t="inlineStr">
        <is>
          <t>Other AWS Services</t>
        </is>
      </c>
      <c r="C17" s="63" t="n">
        <v>80000</v>
      </c>
      <c r="D17" s="63" t="n">
        <v>80000</v>
      </c>
      <c r="E17" s="63" t="n">
        <v>0</v>
      </c>
      <c r="F17" s="62" t="inlineStr">
        <is>
          <t>Stable</t>
        </is>
      </c>
      <c r="G17" s="62" t="inlineStr">
        <is>
          <t>Estimated</t>
        </is>
      </c>
      <c r="H17" s="51" t="inlineStr">
        <is>
          <t>Lambda, CF, etc</t>
        </is>
      </c>
      <c r="I17" s="101" t="n"/>
    </row>
    <row r="18">
      <c r="A18" s="101" t="n"/>
      <c r="B18" s="72" t="inlineStr">
        <is>
          <t>Reserved Instance commitments</t>
        </is>
      </c>
      <c r="C18" s="74" t="n">
        <v>100000</v>
      </c>
      <c r="D18" s="74" t="n">
        <v>100000</v>
      </c>
      <c r="E18" s="74" t="n">
        <v>0</v>
      </c>
      <c r="F18" s="72" t="inlineStr">
        <is>
          <t>Locked</t>
        </is>
      </c>
      <c r="G18" s="72" t="inlineStr">
        <is>
          <t>Estimated</t>
        </is>
      </c>
      <c r="H18" s="76" t="inlineStr">
        <is>
          <t>Cannot reduce until expiry</t>
        </is>
      </c>
      <c r="I18" s="101" t="n"/>
    </row>
    <row r="19">
      <c r="A19" s="101" t="n"/>
      <c r="B19" s="100" t="n"/>
      <c r="C19" s="100" t="n"/>
      <c r="D19" s="100" t="n"/>
      <c r="E19" s="100" t="n"/>
      <c r="F19" s="100" t="n"/>
      <c r="G19" s="100" t="n"/>
      <c r="H19" s="101" t="n"/>
      <c r="I19" s="101" t="n"/>
    </row>
    <row r="20" ht="7.5" customHeight="1" s="121">
      <c r="A20" s="101" t="n"/>
      <c r="B20" s="100" t="n"/>
      <c r="C20" s="100" t="n"/>
      <c r="D20" s="100" t="n"/>
      <c r="E20" s="100" t="n"/>
      <c r="F20" s="100" t="n"/>
      <c r="G20" s="100" t="n"/>
      <c r="H20" s="101" t="n"/>
      <c r="I20" s="101" t="n"/>
    </row>
    <row r="21">
      <c r="A21" s="101" t="n"/>
      <c r="B21" s="104" t="inlineStr">
        <is>
          <t>TOTAL AWS — ESTIMATED</t>
        </is>
      </c>
      <c r="C21" s="105">
        <f>C9+C10+C11+C14+C15+C16+C17+C18</f>
        <v/>
      </c>
      <c r="D21" s="105">
        <f>D9+D10+D11+D14+D15+D16+D17+D18</f>
        <v/>
      </c>
      <c r="E21" s="105">
        <f>C21-D21</f>
        <v/>
      </c>
      <c r="F21" s="106" t="n"/>
      <c r="G21" s="106" t="n"/>
      <c r="H21" s="107" t="n"/>
      <c r="I21" s="101" t="n"/>
    </row>
    <row r="22">
      <c r="A22" s="101" t="n"/>
      <c r="B22" s="100" t="n"/>
      <c r="C22" s="100" t="n"/>
      <c r="D22" s="100" t="n"/>
      <c r="E22" s="100" t="n"/>
      <c r="F22" s="100" t="n"/>
      <c r="G22" s="100" t="n"/>
      <c r="H22" s="101" t="n"/>
      <c r="I22" s="101" t="n"/>
    </row>
    <row r="23">
      <c r="A23" s="101" t="n"/>
      <c r="B23" s="100" t="n"/>
      <c r="C23" s="100" t="n"/>
      <c r="D23" s="100" t="n"/>
      <c r="E23" s="100" t="n"/>
      <c r="F23" s="100" t="n"/>
      <c r="G23" s="100" t="n"/>
      <c r="H23" s="101" t="n"/>
      <c r="I23" s="101" t="n"/>
    </row>
    <row r="24" ht="21.75" customHeight="1" s="121">
      <c r="A24" s="101" t="n"/>
      <c r="B24" s="144" t="inlineStr">
        <is>
          <t>FINANCE FORECAST vs ESTIMATED REALITY</t>
        </is>
      </c>
      <c r="C24" s="123" t="n"/>
      <c r="D24" s="123" t="n"/>
      <c r="E24" s="123" t="n"/>
      <c r="F24" s="123" t="n"/>
      <c r="G24" s="123" t="n"/>
      <c r="H24" s="124" t="n"/>
      <c r="I24" s="101" t="n"/>
    </row>
    <row r="25" ht="24" customHeight="1" s="121">
      <c r="A25" s="101" t="n"/>
      <c r="B25" s="60" t="inlineStr">
        <is>
          <t>Period</t>
        </is>
      </c>
      <c r="C25" s="60" t="inlineStr">
        <is>
          <t>Finance Forecast AWS</t>
        </is>
      </c>
      <c r="D25" s="60" t="inlineStr">
        <is>
          <t>NS Actual Hosting</t>
        </is>
      </c>
      <c r="E25" s="60" t="inlineStr">
        <is>
          <t>Variance</t>
        </is>
      </c>
      <c r="F25" s="60" t="inlineStr">
        <is>
          <t>Implied AWS Run-Rate</t>
        </is>
      </c>
      <c r="G25" s="100" t="n"/>
      <c r="H25" s="101" t="n"/>
      <c r="I25" s="101" t="n"/>
    </row>
    <row r="26" ht="15.75" customHeight="1" s="121">
      <c r="A26" s="101" t="n"/>
      <c r="B26" s="62" t="inlineStr">
        <is>
          <t>Nov 2025</t>
        </is>
      </c>
      <c r="C26" s="63" t="n">
        <v>-421000</v>
      </c>
      <c r="D26" s="63" t="n">
        <v>-509309</v>
      </c>
      <c r="E26" s="108" t="n">
        <v>88309</v>
      </c>
      <c r="F26" s="51" t="inlineStr">
        <is>
          <t>Pre-ICS</t>
        </is>
      </c>
      <c r="G26" s="100" t="n"/>
      <c r="H26" s="101" t="n"/>
      <c r="I26" s="101" t="n"/>
    </row>
    <row r="27" ht="15.75" customHeight="1" s="121">
      <c r="A27" s="101" t="n"/>
      <c r="B27" s="72" t="inlineStr">
        <is>
          <t>Dec 2025</t>
        </is>
      </c>
      <c r="C27" s="74" t="n">
        <v>-388110</v>
      </c>
      <c r="D27" s="74" t="n">
        <v>-519572</v>
      </c>
      <c r="E27" s="87" t="n">
        <v>131462</v>
      </c>
      <c r="F27" s="76" t="inlineStr">
        <is>
          <t>Pre-ICS</t>
        </is>
      </c>
      <c r="G27" s="100" t="n"/>
      <c r="H27" s="101" t="n"/>
      <c r="I27" s="101" t="n"/>
    </row>
    <row r="28" ht="15.75" customHeight="1" s="121">
      <c r="A28" s="101" t="n"/>
      <c r="B28" s="62" t="inlineStr">
        <is>
          <t>Jan 2026</t>
        </is>
      </c>
      <c r="C28" s="63" t="n">
        <v>-317528</v>
      </c>
      <c r="D28" s="63" t="n">
        <v>-414329</v>
      </c>
      <c r="E28" s="108" t="n">
        <v>96801</v>
      </c>
      <c r="F28" s="51" t="inlineStr">
        <is>
          <t>Migration started</t>
        </is>
      </c>
      <c r="G28" s="100" t="n"/>
      <c r="H28" s="101" t="n"/>
      <c r="I28" s="101" t="n"/>
    </row>
    <row r="29" ht="15.75" customHeight="1" s="121">
      <c r="A29" s="101" t="n"/>
      <c r="B29" s="72" t="inlineStr">
        <is>
          <t>Feb 2026</t>
        </is>
      </c>
      <c r="C29" s="74" t="n">
        <v>-293786</v>
      </c>
      <c r="D29" s="74" t="n">
        <v>-364210</v>
      </c>
      <c r="E29" s="87" t="n">
        <v>70424</v>
      </c>
      <c r="F29" s="76" t="inlineStr">
        <is>
          <t>Migration in progress</t>
        </is>
      </c>
      <c r="G29" s="100" t="n"/>
      <c r="H29" s="101" t="n"/>
      <c r="I29" s="101" t="n"/>
    </row>
    <row r="30" ht="15.75" customHeight="1" s="121">
      <c r="A30" s="101" t="n"/>
      <c r="B30" s="62" t="inlineStr">
        <is>
          <t>Mar 2026</t>
        </is>
      </c>
      <c r="C30" s="63" t="n">
        <v>-258313</v>
      </c>
      <c r="D30" s="63" t="n">
        <v>-427596</v>
      </c>
      <c r="E30" s="108" t="n">
        <v>169283</v>
      </c>
      <c r="F30" s="51" t="inlineStr">
        <is>
          <t>Migration in progress</t>
        </is>
      </c>
      <c r="G30" s="100" t="n"/>
      <c r="H30" s="101" t="n"/>
      <c r="I30" s="101" t="n"/>
    </row>
    <row r="31" ht="15.75" customHeight="1" s="121">
      <c r="A31" s="101" t="n"/>
      <c r="B31" s="72" t="inlineStr">
        <is>
          <t>Apr 2026</t>
        </is>
      </c>
      <c r="C31" s="74" t="n">
        <v>-225946</v>
      </c>
      <c r="D31" s="74" t="n">
        <v>-443401</v>
      </c>
      <c r="E31" s="87" t="n">
        <v>217455</v>
      </c>
      <c r="F31" s="76" t="inlineStr">
        <is>
          <t>ICS migration complete mid-April</t>
        </is>
      </c>
      <c r="G31" s="100" t="n"/>
      <c r="H31" s="101" t="n"/>
      <c r="I31" s="101" t="n"/>
    </row>
    <row r="32" ht="15.75" customHeight="1" s="121">
      <c r="A32" s="101" t="n"/>
      <c r="B32" s="100" t="n"/>
      <c r="C32" s="100" t="n"/>
      <c r="D32" s="100" t="n"/>
      <c r="E32" s="100" t="n"/>
      <c r="F32" s="100" t="n"/>
      <c r="G32" s="100" t="n"/>
      <c r="H32" s="101" t="n"/>
      <c r="I32" s="101" t="n"/>
    </row>
    <row r="33" ht="15.75" customHeight="1" s="121">
      <c r="A33" s="101" t="n"/>
      <c r="B33" s="100" t="n"/>
      <c r="C33" s="100" t="n"/>
      <c r="D33" s="100" t="n"/>
      <c r="E33" s="100" t="n"/>
      <c r="F33" s="100" t="n"/>
      <c r="G33" s="100" t="n"/>
      <c r="H33" s="101" t="n"/>
      <c r="I33" s="101" t="n"/>
    </row>
    <row r="34" ht="21.75" customHeight="1" s="121">
      <c r="A34" s="101" t="n"/>
      <c r="B34" s="144" t="inlineStr">
        <is>
          <t>AWS SCENARIO MODELING — POTENTIAL ADDITIONAL SAVINGS</t>
        </is>
      </c>
      <c r="C34" s="123" t="n"/>
      <c r="D34" s="123" t="n"/>
      <c r="E34" s="123" t="n"/>
      <c r="F34" s="123" t="n"/>
      <c r="G34" s="123" t="n"/>
      <c r="H34" s="124" t="n"/>
      <c r="I34" s="101" t="n"/>
    </row>
    <row r="35" ht="24" customHeight="1" s="121">
      <c r="A35" s="101" t="n"/>
      <c r="B35" s="60" t="inlineStr">
        <is>
          <t>Lever</t>
        </is>
      </c>
      <c r="C35" s="60" t="inlineStr">
        <is>
          <t>Estimated Monthly Savings</t>
        </is>
      </c>
      <c r="D35" s="60" t="inlineStr">
        <is>
          <t>Likelihood</t>
        </is>
      </c>
      <c r="E35" s="60" t="inlineStr">
        <is>
          <t>Implementation Time</t>
        </is>
      </c>
      <c r="F35" s="97" t="inlineStr">
        <is>
          <t>Cash Impact Through Jul 26</t>
        </is>
      </c>
      <c r="G35" s="100" t="n"/>
      <c r="H35" s="101" t="n"/>
      <c r="I35" s="101" t="n"/>
    </row>
    <row r="36" ht="15.75" customHeight="1" s="121">
      <c r="A36" s="101" t="n"/>
      <c r="B36" s="62" t="inlineStr">
        <is>
          <t>Dev env auto-shutoff</t>
        </is>
      </c>
      <c r="C36" s="63" t="n">
        <v>15000</v>
      </c>
      <c r="D36" s="62" t="inlineStr">
        <is>
          <t>High</t>
        </is>
      </c>
      <c r="E36" s="62" t="inlineStr">
        <is>
          <t>2-3 weeks</t>
        </is>
      </c>
      <c r="F36" s="51" t="inlineStr">
        <is>
          <t>$15K (1 month)</t>
        </is>
      </c>
      <c r="G36" s="100" t="n"/>
      <c r="H36" s="101" t="n"/>
      <c r="I36" s="101" t="n"/>
    </row>
    <row r="37" ht="15.75" customHeight="1" s="121">
      <c r="A37" s="101" t="n"/>
      <c r="B37" s="72" t="inlineStr">
        <is>
          <t>S3 lifecycle policies (cold tiering)</t>
        </is>
      </c>
      <c r="C37" s="74" t="n">
        <v>8000</v>
      </c>
      <c r="D37" s="72" t="inlineStr">
        <is>
          <t>High</t>
        </is>
      </c>
      <c r="E37" s="72" t="inlineStr">
        <is>
          <t>1-2 weeks</t>
        </is>
      </c>
      <c r="F37" s="76" t="inlineStr">
        <is>
          <t>$8K</t>
        </is>
      </c>
      <c r="G37" s="100" t="n"/>
      <c r="H37" s="101" t="n"/>
      <c r="I37" s="101" t="n"/>
    </row>
    <row r="38" ht="15.75" customHeight="1" s="121">
      <c r="A38" s="101" t="n"/>
      <c r="B38" s="62" t="inlineStr">
        <is>
          <t>Reserved instance rightsizing audit</t>
        </is>
      </c>
      <c r="C38" s="63" t="n">
        <v>30000</v>
      </c>
      <c r="D38" s="62" t="inlineStr">
        <is>
          <t>Medium</t>
        </is>
      </c>
      <c r="E38" s="62" t="inlineStr">
        <is>
          <t>6-8 weeks</t>
        </is>
      </c>
      <c r="F38" s="51" t="inlineStr">
        <is>
          <t>$0 (too slow for July)</t>
        </is>
      </c>
      <c r="G38" s="100" t="n"/>
      <c r="H38" s="101" t="n"/>
      <c r="I38" s="101" t="n"/>
    </row>
    <row r="39" ht="15.75" customHeight="1" s="121">
      <c r="A39" s="101" t="n"/>
      <c r="B39" s="72" t="inlineStr">
        <is>
          <t>Spot instances for batch workloads</t>
        </is>
      </c>
      <c r="C39" s="74" t="n">
        <v>10000</v>
      </c>
      <c r="D39" s="72" t="inlineStr">
        <is>
          <t>Medium</t>
        </is>
      </c>
      <c r="E39" s="72" t="inlineStr">
        <is>
          <t>4-6 weeks</t>
        </is>
      </c>
      <c r="F39" s="76" t="inlineStr">
        <is>
          <t>$0-5K</t>
        </is>
      </c>
      <c r="G39" s="100" t="n"/>
      <c r="H39" s="101" t="n"/>
      <c r="I39" s="101" t="n"/>
    </row>
    <row r="40" ht="15.75" customHeight="1" s="121">
      <c r="A40" s="101" t="n"/>
      <c r="B40" s="62" t="inlineStr">
        <is>
          <t>Data transfer optimization</t>
        </is>
      </c>
      <c r="C40" s="63" t="n">
        <v>5000</v>
      </c>
      <c r="D40" s="62" t="inlineStr">
        <is>
          <t>Low</t>
        </is>
      </c>
      <c r="E40" s="62" t="inlineStr">
        <is>
          <t>3-4 weeks</t>
        </is>
      </c>
      <c r="F40" s="51" t="inlineStr">
        <is>
          <t>$0-5K</t>
        </is>
      </c>
      <c r="G40" s="100" t="n"/>
      <c r="H40" s="101" t="n"/>
      <c r="I40" s="101" t="n"/>
    </row>
    <row r="41" ht="15.75" customHeight="1" s="121">
      <c r="A41" s="101" t="n"/>
      <c r="B41" s="72" t="inlineStr">
        <is>
          <t>Negotiate volume discount</t>
        </is>
      </c>
      <c r="C41" s="74" t="n">
        <v>20000</v>
      </c>
      <c r="D41" s="72" t="inlineStr">
        <is>
          <t>Low-Med</t>
        </is>
      </c>
      <c r="E41" s="72" t="inlineStr">
        <is>
          <t>8-12 weeks</t>
        </is>
      </c>
      <c r="F41" s="76" t="inlineStr">
        <is>
          <t>$0 (too slow)</t>
        </is>
      </c>
      <c r="G41" s="100" t="n"/>
      <c r="H41" s="101" t="n"/>
      <c r="I41" s="101" t="n"/>
    </row>
    <row r="42" ht="21.75" customHeight="1" s="121">
      <c r="A42" s="101" t="n"/>
      <c r="B42" s="80" t="inlineStr">
        <is>
          <t>TOTAL realistic by mid-July</t>
        </is>
      </c>
      <c r="C42" s="95" t="n">
        <v>23000</v>
      </c>
      <c r="D42" s="80" t="inlineStr">
        <is>
          <t>Combined</t>
        </is>
      </c>
      <c r="E42" s="80" t="inlineStr">
        <is>
          <t>—</t>
        </is>
      </c>
      <c r="F42" s="94" t="inlineStr">
        <is>
          <t>$23K-30K July benefit</t>
        </is>
      </c>
      <c r="G42" s="100" t="n"/>
      <c r="H42" s="101" t="n"/>
      <c r="I42" s="101" t="n"/>
    </row>
    <row r="43" ht="15.75" customHeight="1" s="121">
      <c r="A43" s="101" t="n"/>
      <c r="B43" s="100" t="n"/>
      <c r="C43" s="100" t="n"/>
      <c r="D43" s="100" t="n"/>
      <c r="E43" s="100" t="n"/>
      <c r="F43" s="100" t="n"/>
      <c r="G43" s="100" t="n"/>
      <c r="H43" s="101" t="n"/>
      <c r="I43" s="101" t="n"/>
    </row>
    <row r="44" ht="15.75" customHeight="1" s="121">
      <c r="A44" s="101" t="n"/>
      <c r="B44" s="100" t="n"/>
      <c r="C44" s="100" t="n"/>
      <c r="D44" s="100" t="n"/>
      <c r="E44" s="100" t="n"/>
      <c r="F44" s="100" t="n"/>
      <c r="G44" s="100" t="n"/>
      <c r="H44" s="101" t="n"/>
      <c r="I44" s="101" t="n"/>
    </row>
  </sheetData>
  <mergeCells count="7">
    <mergeCell ref="B1:I1"/>
    <mergeCell ref="B4:H4"/>
    <mergeCell ref="B2:I2"/>
    <mergeCell ref="B24:H24"/>
    <mergeCell ref="B7:H7"/>
    <mergeCell ref="B5:H5"/>
    <mergeCell ref="B34:H34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9AA8BD"/>
    <outlinePr summaryBelow="1" summaryRight="1"/>
    <pageSetUpPr/>
  </sheetPr>
  <dimension ref="B1:I34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39" customWidth="1" style="121" min="2" max="2"/>
    <col width="16" customWidth="1" style="121" min="3" max="5"/>
    <col width="18" customWidth="1" style="121" min="6" max="7"/>
    <col width="69.14" customWidth="1" style="121" min="8" max="8"/>
    <col width="2" customWidth="1" style="121" min="9" max="9"/>
  </cols>
  <sheetData>
    <row r="1" ht="25.5" customHeight="1" s="121">
      <c r="B1" s="122" t="inlineStr">
        <is>
          <t>NETSUITE ACTUALS vs FINANCE FORECAST — VARIANCE ANALYSIS</t>
        </is>
      </c>
      <c r="C1" s="123" t="n"/>
      <c r="D1" s="123" t="n"/>
      <c r="E1" s="123" t="n"/>
      <c r="F1" s="123" t="n"/>
      <c r="G1" s="123" t="n"/>
      <c r="H1" s="123" t="n"/>
      <c r="I1" s="124" t="n"/>
    </row>
    <row r="2" ht="18" customHeight="1" s="121">
      <c r="B2" s="140" t="inlineStr">
        <is>
          <t>Where the Finance Model may be over-forecasting expenses (potential July buffer)</t>
        </is>
      </c>
      <c r="C2" s="123" t="n"/>
      <c r="D2" s="123" t="n"/>
      <c r="E2" s="123" t="n"/>
      <c r="F2" s="123" t="n"/>
      <c r="G2" s="123" t="n"/>
      <c r="H2" s="123" t="n"/>
      <c r="I2" s="124" t="n"/>
    </row>
    <row r="4" ht="21.75" customHeight="1" s="121">
      <c r="B4" s="137" t="inlineStr">
        <is>
          <t>EXPENSE LINE-BY-LINE: NS L6M AVG vs FINANCE FORECAST RATE</t>
        </is>
      </c>
      <c r="C4" s="123" t="n"/>
      <c r="D4" s="123" t="n"/>
      <c r="E4" s="123" t="n"/>
      <c r="F4" s="123" t="n"/>
      <c r="G4" s="123" t="n"/>
      <c r="H4" s="124" t="n"/>
    </row>
    <row r="5" ht="41.25" customHeight="1" s="121">
      <c r="B5" s="60" t="inlineStr">
        <is>
          <t>Category</t>
        </is>
      </c>
      <c r="C5" s="60" t="inlineStr">
        <is>
          <t>NS L6M Avg / Mo</t>
        </is>
      </c>
      <c r="D5" s="60" t="inlineStr">
        <is>
          <t>Finance Forecast Avg / Mo</t>
        </is>
      </c>
      <c r="E5" s="60" t="inlineStr">
        <is>
          <t>Variance / Mo</t>
        </is>
      </c>
      <c r="F5" s="60" t="inlineStr">
        <is>
          <t>Implied Buffer (May-Jul)</t>
        </is>
      </c>
      <c r="G5" s="60" t="inlineStr">
        <is>
          <t>Confidence</t>
        </is>
      </c>
      <c r="H5" s="97" t="inlineStr">
        <is>
          <t>Interpretation</t>
        </is>
      </c>
    </row>
    <row r="6" ht="24" customHeight="1" s="121">
      <c r="B6" s="35" t="inlineStr">
        <is>
          <t>Hosting (AWS + Collaborate)</t>
        </is>
      </c>
      <c r="C6" s="63" t="n">
        <v>-446405</v>
      </c>
      <c r="D6" s="63" t="n">
        <v>-317528</v>
      </c>
      <c r="E6" s="109" t="n">
        <v>-128878</v>
      </c>
      <c r="F6" s="109" t="n">
        <v>-250000</v>
      </c>
      <c r="G6" s="62" t="inlineStr">
        <is>
          <t>High</t>
        </is>
      </c>
      <c r="H6" s="92" t="inlineStr">
        <is>
          <t>NS actuals HIGHER than Finance forecast → Finance optimistic; no buffer here</t>
        </is>
      </c>
    </row>
    <row r="7" ht="24" customHeight="1" s="121">
      <c r="B7" s="37" t="inlineStr">
        <is>
          <t>Software Subscriptions (recent 3-mo)</t>
        </is>
      </c>
      <c r="C7" s="74" t="n">
        <v>-163782</v>
      </c>
      <c r="D7" s="74" t="n">
        <v>-195188</v>
      </c>
      <c r="E7" s="32" t="n">
        <v>31406</v>
      </c>
      <c r="F7" s="32" t="n">
        <v>75000</v>
      </c>
      <c r="G7" s="72" t="inlineStr">
        <is>
          <t>High</t>
        </is>
      </c>
      <c r="H7" s="93" t="inlineStr">
        <is>
          <t>NS recent runs lower than Finance avg → potential $75K buffer by July</t>
        </is>
      </c>
    </row>
    <row r="8" ht="24" customHeight="1" s="121">
      <c r="B8" s="35" t="inlineStr">
        <is>
          <t>Salary Expense (recent 3-mo, ex bonus)</t>
        </is>
      </c>
      <c r="C8" s="63" t="n">
        <v>-629937</v>
      </c>
      <c r="D8" s="63" t="n">
        <v>-700000</v>
      </c>
      <c r="E8" s="32" t="n">
        <v>70063</v>
      </c>
      <c r="F8" s="32" t="n">
        <v>175000</v>
      </c>
      <c r="G8" s="62" t="inlineStr">
        <is>
          <t>Medium</t>
        </is>
      </c>
      <c r="H8" s="92" t="inlineStr">
        <is>
          <t>NS shows lower salary run-rate; partly timing, partly attrition</t>
        </is>
      </c>
    </row>
    <row r="9" ht="24" customHeight="1" s="121">
      <c r="B9" s="37" t="inlineStr">
        <is>
          <t>External Consulting Fees</t>
        </is>
      </c>
      <c r="C9" s="74" t="n">
        <v>-103690</v>
      </c>
      <c r="D9" s="74" t="n">
        <v>-150000</v>
      </c>
      <c r="E9" s="32" t="n">
        <v>46310</v>
      </c>
      <c r="F9" s="32" t="n">
        <v>100000</v>
      </c>
      <c r="G9" s="72" t="inlineStr">
        <is>
          <t>Medium</t>
        </is>
      </c>
      <c r="H9" s="93" t="inlineStr">
        <is>
          <t>NS L6M trending down; April $44K vs avg $104K</t>
        </is>
      </c>
    </row>
    <row r="10" ht="24" customHeight="1" s="121">
      <c r="B10" s="35" t="inlineStr">
        <is>
          <t>Outsourced Development</t>
        </is>
      </c>
      <c r="C10" s="63" t="n">
        <v>-29463</v>
      </c>
      <c r="D10" s="63" t="n">
        <v>-25000</v>
      </c>
      <c r="E10" s="109" t="n">
        <v>-4463</v>
      </c>
      <c r="F10" s="109" t="n">
        <v>-10000</v>
      </c>
      <c r="G10" s="62" t="inlineStr">
        <is>
          <t>High</t>
        </is>
      </c>
      <c r="H10" s="92" t="inlineStr">
        <is>
          <t>NS slightly above Finance; small variance</t>
        </is>
      </c>
    </row>
    <row r="11" ht="24" customHeight="1" s="121">
      <c r="B11" s="37" t="inlineStr">
        <is>
          <t>Commissions</t>
        </is>
      </c>
      <c r="C11" s="74" t="n">
        <v>-143862</v>
      </c>
      <c r="D11" s="74" t="n">
        <v>-100000</v>
      </c>
      <c r="E11" s="109" t="n">
        <v>-43862</v>
      </c>
      <c r="F11" s="109" t="n">
        <v>-100000</v>
      </c>
      <c r="G11" s="72" t="inlineStr">
        <is>
          <t>High</t>
        </is>
      </c>
      <c r="H11" s="93" t="inlineStr">
        <is>
          <t>Higher than Finance projection — sales force still paid</t>
        </is>
      </c>
    </row>
    <row r="12" ht="24" customHeight="1" s="121">
      <c r="B12" s="35" t="inlineStr">
        <is>
          <t>Conferences / Travel</t>
        </is>
      </c>
      <c r="C12" s="63" t="n">
        <v>-10429</v>
      </c>
      <c r="D12" s="63" t="n">
        <v>-20000</v>
      </c>
      <c r="E12" s="32" t="n">
        <v>9571</v>
      </c>
      <c r="F12" s="32" t="n">
        <v>25000</v>
      </c>
      <c r="G12" s="62" t="inlineStr">
        <is>
          <t>High</t>
        </is>
      </c>
      <c r="H12" s="92" t="inlineStr">
        <is>
          <t>Already minimal; small buffer</t>
        </is>
      </c>
    </row>
    <row r="13" ht="24" customHeight="1" s="121">
      <c r="B13" s="37" t="inlineStr">
        <is>
          <t>Bank Charges</t>
        </is>
      </c>
      <c r="C13" s="74" t="n">
        <v>-4441</v>
      </c>
      <c r="D13" s="74" t="n">
        <v>-5000</v>
      </c>
      <c r="E13" s="32" t="n">
        <v>559</v>
      </c>
      <c r="F13" s="32" t="n">
        <v>1500</v>
      </c>
      <c r="G13" s="72" t="inlineStr">
        <is>
          <t>High</t>
        </is>
      </c>
      <c r="H13" s="93" t="inlineStr">
        <is>
          <t>Negligible</t>
        </is>
      </c>
    </row>
    <row r="14" ht="24" customHeight="1" s="121">
      <c r="B14" s="35" t="inlineStr">
        <is>
          <t>Marketing/Ads</t>
        </is>
      </c>
      <c r="C14" s="63" t="n">
        <v>-4748</v>
      </c>
      <c r="D14" s="63" t="n">
        <v>-16000</v>
      </c>
      <c r="E14" s="32" t="n">
        <v>11252</v>
      </c>
      <c r="F14" s="32" t="n">
        <v>30000</v>
      </c>
      <c r="G14" s="62" t="inlineStr">
        <is>
          <t>High</t>
        </is>
      </c>
      <c r="H14" s="92" t="inlineStr">
        <is>
          <t>NS already very low; $30K possible buffer</t>
        </is>
      </c>
    </row>
    <row r="15" ht="24" customHeight="1" s="121">
      <c r="B15" s="37" t="inlineStr">
        <is>
          <t>Reseller Commissions Amortization</t>
        </is>
      </c>
      <c r="C15" s="74" t="n">
        <v>-175369</v>
      </c>
      <c r="D15" s="74" t="n">
        <v>-200000</v>
      </c>
      <c r="E15" s="32" t="n">
        <v>24631</v>
      </c>
      <c r="F15" s="32" t="n">
        <v>60000</v>
      </c>
      <c r="G15" s="72" t="inlineStr">
        <is>
          <t>Medium</t>
        </is>
      </c>
      <c r="H15" s="93" t="inlineStr">
        <is>
          <t>Non-cash item; not relevant to cash forecast</t>
        </is>
      </c>
    </row>
    <row r="16" ht="6" customHeight="1" s="121">
      <c r="C16" s="27" t="n"/>
      <c r="D16" s="27" t="n"/>
      <c r="E16" s="27" t="n"/>
      <c r="F16" s="27" t="n"/>
      <c r="G16" s="27" t="n"/>
      <c r="H16" s="27" t="n"/>
    </row>
    <row r="17" ht="25.5" customHeight="1" s="121">
      <c r="B17" s="94" t="inlineStr">
        <is>
          <t>TOTAL POTENTIAL BUFFER (positive items only)</t>
        </is>
      </c>
      <c r="C17" s="82" t="n"/>
      <c r="D17" s="82" t="n"/>
      <c r="E17" s="82" t="n"/>
      <c r="F17" s="32">
        <f>SUMIF(F6:F15,"&gt;0")</f>
        <v/>
      </c>
      <c r="G17" s="82" t="n"/>
      <c r="H17" s="82" t="n"/>
    </row>
    <row r="20" ht="21.75" customHeight="1" s="121">
      <c r="B20" s="137" t="inlineStr">
        <is>
          <t>TAKEAWAY — WHERE FINANCE MAY BE CONSERVATIVE</t>
        </is>
      </c>
      <c r="C20" s="123" t="n"/>
      <c r="D20" s="123" t="n"/>
      <c r="E20" s="123" t="n"/>
      <c r="F20" s="123" t="n"/>
      <c r="G20" s="123" t="n"/>
      <c r="H20" s="124" t="n"/>
    </row>
    <row r="21" ht="18" customHeight="1" s="121">
      <c r="B21" s="146" t="inlineStr">
        <is>
          <t>BUFFER OPPORTUNITY (Finance forecast more conservative than NS actuals):</t>
        </is>
      </c>
      <c r="C21" s="123" t="n"/>
      <c r="D21" s="123" t="n"/>
      <c r="E21" s="123" t="n"/>
      <c r="F21" s="123" t="n"/>
      <c r="G21" s="123" t="n"/>
      <c r="H21" s="124" t="n"/>
    </row>
    <row r="22" ht="18" customHeight="1" s="121">
      <c r="B22" s="92" t="inlineStr">
        <is>
          <t>• Software subscriptions: ~$75K potential buffer through July (NS trending below Finance)</t>
        </is>
      </c>
      <c r="C22" s="123" t="n"/>
      <c r="D22" s="123" t="n"/>
      <c r="E22" s="123" t="n"/>
      <c r="F22" s="123" t="n"/>
      <c r="G22" s="123" t="n"/>
      <c r="H22" s="124" t="n"/>
    </row>
    <row r="23" ht="18" customHeight="1" s="121">
      <c r="B23" s="92" t="inlineStr">
        <is>
          <t>• Salary expense: ~$175K potential buffer (timing-related; partly due to recent departures)</t>
        </is>
      </c>
      <c r="C23" s="123" t="n"/>
      <c r="D23" s="123" t="n"/>
      <c r="E23" s="123" t="n"/>
      <c r="F23" s="123" t="n"/>
      <c r="G23" s="123" t="n"/>
      <c r="H23" s="124" t="n"/>
    </row>
    <row r="24" ht="18" customHeight="1" s="121">
      <c r="B24" s="92" t="inlineStr">
        <is>
          <t>• External consulting: ~$100K (NS L6M trending down)</t>
        </is>
      </c>
      <c r="C24" s="123" t="n"/>
      <c r="D24" s="123" t="n"/>
      <c r="E24" s="123" t="n"/>
      <c r="F24" s="123" t="n"/>
      <c r="G24" s="123" t="n"/>
      <c r="H24" s="124" t="n"/>
    </row>
    <row r="25" ht="18" customHeight="1" s="121">
      <c r="B25" s="92" t="inlineStr">
        <is>
          <t>• Marketing / Conferences / minor items: ~$50K combined</t>
        </is>
      </c>
      <c r="C25" s="123" t="n"/>
      <c r="D25" s="123" t="n"/>
      <c r="E25" s="123" t="n"/>
      <c r="F25" s="123" t="n"/>
      <c r="G25" s="123" t="n"/>
      <c r="H25" s="124" t="n"/>
    </row>
    <row r="26" ht="18" customHeight="1" s="121">
      <c r="B26" s="92" t="inlineStr">
        <is>
          <t>• POTENTIAL TOTAL BUFFER through July: $400K-$500K — meaningful relief</t>
        </is>
      </c>
      <c r="C26" s="123" t="n"/>
      <c r="D26" s="123" t="n"/>
      <c r="E26" s="123" t="n"/>
      <c r="F26" s="123" t="n"/>
      <c r="G26" s="123" t="n"/>
      <c r="H26" s="124" t="n"/>
    </row>
    <row r="27" ht="6" customHeight="1" s="121">
      <c r="B27" s="92" t="n"/>
      <c r="C27" s="123" t="n"/>
      <c r="D27" s="123" t="n"/>
      <c r="E27" s="123" t="n"/>
      <c r="F27" s="123" t="n"/>
      <c r="G27" s="123" t="n"/>
      <c r="H27" s="124" t="n"/>
    </row>
    <row r="28" ht="18" customHeight="1" s="121">
      <c r="B28" s="146" t="inlineStr">
        <is>
          <t>WHERE FINANCE MAY BE OPTIMISTIC (DOWNSIDE RISK):</t>
        </is>
      </c>
      <c r="C28" s="123" t="n"/>
      <c r="D28" s="123" t="n"/>
      <c r="E28" s="123" t="n"/>
      <c r="F28" s="123" t="n"/>
      <c r="G28" s="123" t="n"/>
      <c r="H28" s="124" t="n"/>
    </row>
    <row r="29" ht="18" customHeight="1" s="121">
      <c r="B29" s="92" t="inlineStr">
        <is>
          <t>• Hosting (AWS+Collaborate): NS actuals -$129K/month HIGHER than Finance forecast</t>
        </is>
      </c>
      <c r="C29" s="123" t="n"/>
      <c r="D29" s="123" t="n"/>
      <c r="E29" s="123" t="n"/>
      <c r="F29" s="123" t="n"/>
      <c r="G29" s="123" t="n"/>
      <c r="H29" s="124" t="n"/>
    </row>
    <row r="30" ht="18" customHeight="1" s="121">
      <c r="B30" s="92" t="inlineStr">
        <is>
          <t>• This $129K/month gap is consistent with ICS migration not yet fully reflected in NS actuals</t>
        </is>
      </c>
      <c r="C30" s="123" t="n"/>
      <c r="D30" s="123" t="n"/>
      <c r="E30" s="123" t="n"/>
      <c r="F30" s="123" t="n"/>
      <c r="G30" s="123" t="n"/>
      <c r="H30" s="124" t="n"/>
    </row>
    <row r="31" ht="18" customHeight="1" s="121">
      <c r="B31" s="92" t="inlineStr">
        <is>
          <t>• If ICS savings come in slower than expected: -$200K-$300K worse than forecast through July</t>
        </is>
      </c>
      <c r="C31" s="123" t="n"/>
      <c r="D31" s="123" t="n"/>
      <c r="E31" s="123" t="n"/>
      <c r="F31" s="123" t="n"/>
      <c r="G31" s="123" t="n"/>
      <c r="H31" s="124" t="n"/>
    </row>
    <row r="32" ht="6" customHeight="1" s="121">
      <c r="B32" s="92" t="n"/>
      <c r="C32" s="123" t="n"/>
      <c r="D32" s="123" t="n"/>
      <c r="E32" s="123" t="n"/>
      <c r="F32" s="123" t="n"/>
      <c r="G32" s="123" t="n"/>
      <c r="H32" s="124" t="n"/>
    </row>
    <row r="33" ht="18" customHeight="1" s="121">
      <c r="B33" s="147" t="inlineStr">
        <is>
          <t>NET REALISTIC BUFFER: $100K-$300K of expense forecast buffer that Finance may be carrying.</t>
        </is>
      </c>
      <c r="C33" s="123" t="n"/>
      <c r="D33" s="123" t="n"/>
      <c r="E33" s="123" t="n"/>
      <c r="F33" s="123" t="n"/>
      <c r="G33" s="123" t="n"/>
      <c r="H33" s="124" t="n"/>
    </row>
    <row r="34" ht="18" customHeight="1" s="121">
      <c r="B34" s="92" t="inlineStr">
        <is>
          <t>This is material vs the $111K trough but not transformational. AR acceleration and one-time inflows remain the bigger levers.</t>
        </is>
      </c>
      <c r="C34" s="123" t="n"/>
      <c r="D34" s="123" t="n"/>
      <c r="E34" s="123" t="n"/>
      <c r="F34" s="123" t="n"/>
      <c r="G34" s="123" t="n"/>
      <c r="H34" s="124" t="n"/>
    </row>
    <row r="35" ht="15.75" customHeight="1" s="121"/>
  </sheetData>
  <mergeCells count="18">
    <mergeCell ref="B22:H22"/>
    <mergeCell ref="B32:H32"/>
    <mergeCell ref="B26:H26"/>
    <mergeCell ref="B27:H27"/>
    <mergeCell ref="B21:H21"/>
    <mergeCell ref="B4:H4"/>
    <mergeCell ref="B2:I2"/>
    <mergeCell ref="B20:H20"/>
    <mergeCell ref="B31:H31"/>
    <mergeCell ref="B24:H24"/>
    <mergeCell ref="B30:H30"/>
    <mergeCell ref="B29:H29"/>
    <mergeCell ref="B33:H33"/>
    <mergeCell ref="B25:H25"/>
    <mergeCell ref="B1:I1"/>
    <mergeCell ref="B34:H34"/>
    <mergeCell ref="B28:H28"/>
    <mergeCell ref="B23:H23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21" min="1" max="1"/>
    <col width="7" customWidth="1" style="121" min="2" max="2"/>
    <col width="12" customWidth="1" style="121" min="3" max="3"/>
    <col width="8" customWidth="1" style="121" min="4" max="4"/>
    <col width="7" customWidth="1" style="121" min="5" max="5"/>
    <col width="14" customWidth="1" style="121" min="6" max="6"/>
    <col width="14" customWidth="1" style="121" min="7" max="7"/>
    <col width="13" customWidth="1" style="121" min="8" max="8"/>
    <col width="13" customWidth="1" style="121" min="9" max="9"/>
    <col width="13" customWidth="1" style="121" min="10" max="10"/>
    <col width="13" customWidth="1" style="121" min="11" max="11"/>
    <col width="13" customWidth="1" style="121" min="12" max="12"/>
    <col width="14" customWidth="1" style="121" min="13" max="13"/>
    <col width="15" customWidth="1" style="121" min="14" max="14"/>
    <col width="16" customWidth="1" style="121" min="15" max="15"/>
    <col width="14" customWidth="1" style="121" min="16" max="16"/>
    <col width="2" customWidth="1" style="121" min="17" max="17"/>
  </cols>
  <sheetData>
    <row r="1" ht="28" customHeight="1" s="121">
      <c r="B1" s="122" t="inlineStr">
        <is>
          <t>WEEKLY CALCULATION ENGINE</t>
        </is>
      </c>
      <c r="C1" s="148" t="n"/>
      <c r="D1" s="148" t="n"/>
      <c r="E1" s="148" t="n"/>
      <c r="F1" s="148" t="n"/>
      <c r="G1" s="148" t="n"/>
      <c r="H1" s="148" t="n"/>
      <c r="I1" s="148" t="n"/>
      <c r="J1" s="148" t="n"/>
      <c r="K1" s="148" t="n"/>
      <c r="L1" s="148" t="n"/>
      <c r="M1" s="148" t="n"/>
      <c r="N1" s="148" t="n"/>
      <c r="O1" s="148" t="n"/>
      <c r="P1" s="148" t="n"/>
    </row>
    <row r="2" ht="18" customHeight="1" s="121">
      <c r="B2" s="140" t="inlineStr">
        <is>
          <t>Formula-driven  •  Pulls live from 02_Severance_Inputs, 03_Cost_Levers, 04_Bookings_Inputs  •  Do not edit calc cells</t>
        </is>
      </c>
      <c r="C2" s="148" t="n"/>
      <c r="D2" s="148" t="n"/>
      <c r="E2" s="148" t="n"/>
      <c r="F2" s="148" t="n"/>
      <c r="G2" s="148" t="n"/>
      <c r="H2" s="148" t="n"/>
      <c r="I2" s="148" t="n"/>
      <c r="J2" s="148" t="n"/>
      <c r="K2" s="148" t="n"/>
      <c r="L2" s="148" t="n"/>
      <c r="M2" s="148" t="n"/>
      <c r="N2" s="148" t="n"/>
      <c r="O2" s="148" t="n"/>
      <c r="P2" s="148" t="n"/>
    </row>
    <row r="3" ht="8" customHeight="1" s="121"/>
    <row r="4" ht="32" customHeight="1" s="121">
      <c r="B4" s="149" t="inlineStr">
        <is>
          <t>Week</t>
        </is>
      </c>
      <c r="C4" s="149" t="inlineStr">
        <is>
          <t>Date</t>
        </is>
      </c>
      <c r="D4" s="149" t="inlineStr">
        <is>
          <t>Month</t>
        </is>
      </c>
      <c r="E4" s="149" t="inlineStr">
        <is>
          <t>Wk #</t>
        </is>
      </c>
      <c r="F4" s="149" t="inlineStr">
        <is>
          <t>Finance Net Flow</t>
        </is>
      </c>
      <c r="G4" s="149" t="inlineStr">
        <is>
          <t>Finance Ending Cash</t>
        </is>
      </c>
      <c r="H4" s="149" t="inlineStr">
        <is>
          <t>T1a Line Items</t>
        </is>
      </c>
      <c r="I4" s="149" t="inlineStr">
        <is>
          <t>T1 Tranche</t>
        </is>
      </c>
      <c r="J4" s="149" t="inlineStr">
        <is>
          <t>T2 Tranche</t>
        </is>
      </c>
      <c r="K4" s="149" t="inlineStr">
        <is>
          <t>T3 Tranche</t>
        </is>
      </c>
      <c r="L4" s="149" t="inlineStr">
        <is>
          <t>Bookings Inflow</t>
        </is>
      </c>
      <c r="M4" s="149" t="inlineStr">
        <is>
          <t>Total Adjustment</t>
        </is>
      </c>
      <c r="N4" s="149" t="inlineStr">
        <is>
          <t>Adj Net Flow</t>
        </is>
      </c>
      <c r="O4" s="149" t="inlineStr">
        <is>
          <t>Adj Ending Cash</t>
        </is>
      </c>
      <c r="P4" s="149" t="inlineStr">
        <is>
          <t>Status</t>
        </is>
      </c>
    </row>
    <row r="5" ht="20" customHeight="1" s="121">
      <c r="B5" s="98" t="inlineStr">
        <is>
          <t>W20</t>
        </is>
      </c>
      <c r="C5" s="150" t="n">
        <v>46159</v>
      </c>
      <c r="D5" s="62" t="inlineStr">
        <is>
          <t>May</t>
        </is>
      </c>
      <c r="E5" s="151" t="n">
        <v>1</v>
      </c>
      <c r="F5" s="152" t="n">
        <v>-382634</v>
      </c>
      <c r="G5" s="153" t="n">
        <v>3258643</v>
      </c>
      <c r="H5" s="154">
        <f>'03_Cost_Levers'!$G$16</f>
        <v/>
      </c>
      <c r="I5" s="154">
        <f>SUMPRODUCT(($D$43:$D$83="T1")*($L$43:$L$83)*($E5&gt;=$O$43:$O$83))-SUMPRODUCT(($D$43:$D$83="T1")*($M$43:$M$83)*($E5=$P$43:$P$83))</f>
        <v/>
      </c>
      <c r="J5" s="154">
        <f>SUMPRODUCT(($D$43:$D$83="T2")*($L$43:$L$83)*($E5&gt;=$O$43:$O$83))-SUMPRODUCT(($D$43:$D$83="T2")*($M$43:$M$83)*($E5=$P$43:$P$83))</f>
        <v/>
      </c>
      <c r="K5" s="154">
        <f>SUMPRODUCT(($D$43:$D$83="T3")*($L$43:$L$83)*($E5&gt;=$O$43:$O$83))-SUMPRODUCT(($D$43:$D$83="T3")*($M$43:$M$83)*($E5=$P$43:$P$83))</f>
        <v/>
      </c>
      <c r="L5" s="154" t="n">
        <v>0</v>
      </c>
      <c r="M5" s="117">
        <f>H5+I5+J5+K5+L5</f>
        <v/>
      </c>
      <c r="N5" s="117">
        <f>F5+M5</f>
        <v/>
      </c>
      <c r="O5" s="117">
        <f>3641277+N5</f>
        <v/>
      </c>
      <c r="P5" s="54">
        <f>IF(O5&lt;500000,"⚠ Crisis (&lt;$500K)",IF(O5&lt;1000000,"Caution","OK"))</f>
        <v/>
      </c>
    </row>
    <row r="6" ht="20" customHeight="1" s="121">
      <c r="B6" s="98" t="inlineStr">
        <is>
          <t>W21</t>
        </is>
      </c>
      <c r="C6" s="150" t="n">
        <v>46166</v>
      </c>
      <c r="D6" s="62" t="inlineStr">
        <is>
          <t>May</t>
        </is>
      </c>
      <c r="E6" s="151" t="n">
        <v>2</v>
      </c>
      <c r="F6" s="152" t="n">
        <v>-1268371</v>
      </c>
      <c r="G6" s="153" t="n">
        <v>1990272</v>
      </c>
      <c r="H6" s="154">
        <f>'03_Cost_Levers'!$G$16</f>
        <v/>
      </c>
      <c r="I6" s="154">
        <f>SUMPRODUCT(($D$43:$D$83="T1")*($L$43:$L$83)*($E6&gt;=$O$43:$O$83))-SUMPRODUCT(($D$43:$D$83="T1")*($M$43:$M$83)*($E6=$P$43:$P$83))</f>
        <v/>
      </c>
      <c r="J6" s="154">
        <f>SUMPRODUCT(($D$43:$D$83="T2")*($L$43:$L$83)*($E6&gt;=$O$43:$O$83))-SUMPRODUCT(($D$43:$D$83="T2")*($M$43:$M$83)*($E6=$P$43:$P$83))</f>
        <v/>
      </c>
      <c r="K6" s="154">
        <f>SUMPRODUCT(($D$43:$D$83="T3")*($L$43:$L$83)*($E6&gt;=$O$43:$O$83))-SUMPRODUCT(($D$43:$D$83="T3")*($M$43:$M$83)*($E6=$P$43:$P$83))</f>
        <v/>
      </c>
      <c r="L6" s="154" t="n">
        <v>0</v>
      </c>
      <c r="M6" s="117">
        <f>H6+I6+J6+K6+L6</f>
        <v/>
      </c>
      <c r="N6" s="117">
        <f>F6+M6</f>
        <v/>
      </c>
      <c r="O6" s="117">
        <f>O5+N6</f>
        <v/>
      </c>
      <c r="P6" s="54">
        <f>IF(O6&lt;500000,"⚠ Crisis (&lt;$500K)",IF(O6&lt;1000000,"Caution","OK"))</f>
        <v/>
      </c>
    </row>
    <row r="7" ht="20" customHeight="1" s="121">
      <c r="B7" s="98" t="inlineStr">
        <is>
          <t>W22</t>
        </is>
      </c>
      <c r="C7" s="150" t="n">
        <v>46173</v>
      </c>
      <c r="D7" s="62" t="inlineStr">
        <is>
          <t>May</t>
        </is>
      </c>
      <c r="E7" s="151" t="n">
        <v>3</v>
      </c>
      <c r="F7" s="152" t="n">
        <v>238020</v>
      </c>
      <c r="G7" s="153" t="n">
        <v>2228292</v>
      </c>
      <c r="H7" s="154">
        <f>'03_Cost_Levers'!$G$16</f>
        <v/>
      </c>
      <c r="I7" s="154">
        <f>SUMPRODUCT(($D$43:$D$83="T1")*($L$43:$L$83)*($E7&gt;=$O$43:$O$83))-SUMPRODUCT(($D$43:$D$83="T1")*($M$43:$M$83)*($E7=$P$43:$P$83))</f>
        <v/>
      </c>
      <c r="J7" s="154">
        <f>SUMPRODUCT(($D$43:$D$83="T2")*($L$43:$L$83)*($E7&gt;=$O$43:$O$83))-SUMPRODUCT(($D$43:$D$83="T2")*($M$43:$M$83)*($E7=$P$43:$P$83))</f>
        <v/>
      </c>
      <c r="K7" s="154">
        <f>SUMPRODUCT(($D$43:$D$83="T3")*($L$43:$L$83)*($E7&gt;=$O$43:$O$83))-SUMPRODUCT(($D$43:$D$83="T3")*($M$43:$M$83)*($E7=$P$43:$P$83))</f>
        <v/>
      </c>
      <c r="L7" s="154" t="n">
        <v>0</v>
      </c>
      <c r="M7" s="117">
        <f>H7+I7+J7+K7+L7</f>
        <v/>
      </c>
      <c r="N7" s="117">
        <f>F7+M7</f>
        <v/>
      </c>
      <c r="O7" s="117">
        <f>O6+N7</f>
        <v/>
      </c>
      <c r="P7" s="54">
        <f>IF(O7&lt;500000,"⚠ Crisis (&lt;$500K)",IF(O7&lt;1000000,"Caution","OK"))</f>
        <v/>
      </c>
    </row>
    <row r="8" ht="20" customHeight="1" s="121">
      <c r="B8" s="98" t="inlineStr">
        <is>
          <t>W23</t>
        </is>
      </c>
      <c r="C8" s="150" t="n">
        <v>46180</v>
      </c>
      <c r="D8" s="62" t="inlineStr">
        <is>
          <t>Jun</t>
        </is>
      </c>
      <c r="E8" s="151" t="n">
        <v>4</v>
      </c>
      <c r="F8" s="152" t="n">
        <v>-261722</v>
      </c>
      <c r="G8" s="153" t="n">
        <v>1966570</v>
      </c>
      <c r="H8" s="154">
        <f>'03_Cost_Levers'!$G$16</f>
        <v/>
      </c>
      <c r="I8" s="154">
        <f>SUMPRODUCT(($D$43:$D$83="T1")*($L$43:$L$83)*($E8&gt;=$O$43:$O$83))-SUMPRODUCT(($D$43:$D$83="T1")*($M$43:$M$83)*($E8=$P$43:$P$83))</f>
        <v/>
      </c>
      <c r="J8" s="154">
        <f>SUMPRODUCT(($D$43:$D$83="T2")*($L$43:$L$83)*($E8&gt;=$O$43:$O$83))-SUMPRODUCT(($D$43:$D$83="T2")*($M$43:$M$83)*($E8=$P$43:$P$83))</f>
        <v/>
      </c>
      <c r="K8" s="154">
        <f>SUMPRODUCT(($D$43:$D$83="T3")*($L$43:$L$83)*($E8&gt;=$O$43:$O$83))-SUMPRODUCT(($D$43:$D$83="T3")*($M$43:$M$83)*($E8=$P$43:$P$83))</f>
        <v/>
      </c>
      <c r="L8" s="154" t="n">
        <v>0</v>
      </c>
      <c r="M8" s="117">
        <f>H8+I8+J8+K8+L8</f>
        <v/>
      </c>
      <c r="N8" s="117">
        <f>F8+M8</f>
        <v/>
      </c>
      <c r="O8" s="117">
        <f>O7+N8</f>
        <v/>
      </c>
      <c r="P8" s="54">
        <f>IF(O8&lt;500000,"⚠ Crisis (&lt;$500K)",IF(O8&lt;1000000,"Caution","OK"))</f>
        <v/>
      </c>
    </row>
    <row r="9" ht="20" customHeight="1" s="121">
      <c r="B9" s="98" t="inlineStr">
        <is>
          <t>W24</t>
        </is>
      </c>
      <c r="C9" s="150" t="n">
        <v>46187</v>
      </c>
      <c r="D9" s="62" t="inlineStr">
        <is>
          <t>Jun</t>
        </is>
      </c>
      <c r="E9" s="151" t="n">
        <v>5</v>
      </c>
      <c r="F9" s="152" t="n">
        <v>-345296</v>
      </c>
      <c r="G9" s="153" t="n">
        <v>1621274</v>
      </c>
      <c r="H9" s="154">
        <f>'03_Cost_Levers'!$G$16</f>
        <v/>
      </c>
      <c r="I9" s="154">
        <f>SUMPRODUCT(($D$43:$D$83="T1")*($L$43:$L$83)*($E9&gt;=$O$43:$O$83))-SUMPRODUCT(($D$43:$D$83="T1")*($M$43:$M$83)*($E9=$P$43:$P$83))</f>
        <v/>
      </c>
      <c r="J9" s="154">
        <f>SUMPRODUCT(($D$43:$D$83="T2")*($L$43:$L$83)*($E9&gt;=$O$43:$O$83))-SUMPRODUCT(($D$43:$D$83="T2")*($M$43:$M$83)*($E9=$P$43:$P$83))</f>
        <v/>
      </c>
      <c r="K9" s="154">
        <f>SUMPRODUCT(($D$43:$D$83="T3")*($L$43:$L$83)*($E9&gt;=$O$43:$O$83))-SUMPRODUCT(($D$43:$D$83="T3")*($M$43:$M$83)*($E9=$P$43:$P$83))</f>
        <v/>
      </c>
      <c r="L9" s="154" t="n">
        <v>0</v>
      </c>
      <c r="M9" s="117">
        <f>H9+I9+J9+K9+L9</f>
        <v/>
      </c>
      <c r="N9" s="117">
        <f>F9+M9</f>
        <v/>
      </c>
      <c r="O9" s="117">
        <f>O8+N9</f>
        <v/>
      </c>
      <c r="P9" s="54">
        <f>IF(O9&lt;500000,"⚠ Crisis (&lt;$500K)",IF(O9&lt;1000000,"Caution","OK"))</f>
        <v/>
      </c>
    </row>
    <row r="10" ht="20" customHeight="1" s="121">
      <c r="B10" s="98" t="inlineStr">
        <is>
          <t>W25</t>
        </is>
      </c>
      <c r="C10" s="150" t="n">
        <v>46194</v>
      </c>
      <c r="D10" s="62" t="inlineStr">
        <is>
          <t>Jun</t>
        </is>
      </c>
      <c r="E10" s="151" t="n">
        <v>6</v>
      </c>
      <c r="F10" s="152" t="n">
        <v>-594958</v>
      </c>
      <c r="G10" s="153" t="n">
        <v>1026316</v>
      </c>
      <c r="H10" s="154">
        <f>'03_Cost_Levers'!$G$16</f>
        <v/>
      </c>
      <c r="I10" s="154">
        <f>SUMPRODUCT(($D$43:$D$83="T1")*($L$43:$L$83)*($E10&gt;=$O$43:$O$83))-SUMPRODUCT(($D$43:$D$83="T1")*($M$43:$M$83)*($E10=$P$43:$P$83))</f>
        <v/>
      </c>
      <c r="J10" s="154">
        <f>SUMPRODUCT(($D$43:$D$83="T2")*($L$43:$L$83)*($E10&gt;=$O$43:$O$83))-SUMPRODUCT(($D$43:$D$83="T2")*($M$43:$M$83)*($E10=$P$43:$P$83))</f>
        <v/>
      </c>
      <c r="K10" s="154">
        <f>SUMPRODUCT(($D$43:$D$83="T3")*($L$43:$L$83)*($E10&gt;=$O$43:$O$83))-SUMPRODUCT(($D$43:$D$83="T3")*($M$43:$M$83)*($E10=$P$43:$P$83))</f>
        <v/>
      </c>
      <c r="L10" s="154" t="n">
        <v>0</v>
      </c>
      <c r="M10" s="117">
        <f>H10+I10+J10+K10+L10</f>
        <v/>
      </c>
      <c r="N10" s="117">
        <f>F10+M10</f>
        <v/>
      </c>
      <c r="O10" s="117">
        <f>O9+N10</f>
        <v/>
      </c>
      <c r="P10" s="54">
        <f>IF(O10&lt;500000,"⚠ Crisis (&lt;$500K)",IF(O10&lt;1000000,"Caution","OK"))</f>
        <v/>
      </c>
    </row>
    <row r="11" ht="20" customHeight="1" s="121">
      <c r="B11" s="98" t="inlineStr">
        <is>
          <t>W26</t>
        </is>
      </c>
      <c r="C11" s="150" t="n">
        <v>46201</v>
      </c>
      <c r="D11" s="62" t="inlineStr">
        <is>
          <t>Jun</t>
        </is>
      </c>
      <c r="E11" s="151" t="n">
        <v>7</v>
      </c>
      <c r="F11" s="152" t="n">
        <v>61739</v>
      </c>
      <c r="G11" s="153" t="n">
        <v>1088055</v>
      </c>
      <c r="H11" s="154">
        <f>'03_Cost_Levers'!$G$16</f>
        <v/>
      </c>
      <c r="I11" s="154">
        <f>SUMPRODUCT(($D$43:$D$83="T1")*($L$43:$L$83)*($E11&gt;=$O$43:$O$83))-SUMPRODUCT(($D$43:$D$83="T1")*($M$43:$M$83)*($E11=$P$43:$P$83))</f>
        <v/>
      </c>
      <c r="J11" s="154">
        <f>SUMPRODUCT(($D$43:$D$83="T2")*($L$43:$L$83)*($E11&gt;=$O$43:$O$83))-SUMPRODUCT(($D$43:$D$83="T2")*($M$43:$M$83)*($E11=$P$43:$P$83))</f>
        <v/>
      </c>
      <c r="K11" s="154">
        <f>SUMPRODUCT(($D$43:$D$83="T3")*($L$43:$L$83)*($E11&gt;=$O$43:$O$83))-SUMPRODUCT(($D$43:$D$83="T3")*($M$43:$M$83)*($E11=$P$43:$P$83))</f>
        <v/>
      </c>
      <c r="L11" s="154" t="n">
        <v>0</v>
      </c>
      <c r="M11" s="117">
        <f>H11+I11+J11+K11+L11</f>
        <v/>
      </c>
      <c r="N11" s="117">
        <f>F11+M11</f>
        <v/>
      </c>
      <c r="O11" s="117">
        <f>O10+N11</f>
        <v/>
      </c>
      <c r="P11" s="54">
        <f>IF(O11&lt;500000,"⚠ Crisis (&lt;$500K)",IF(O11&lt;1000000,"Caution","OK"))</f>
        <v/>
      </c>
    </row>
    <row r="12" ht="20" customHeight="1" s="121">
      <c r="B12" s="98" t="inlineStr">
        <is>
          <t>W27</t>
        </is>
      </c>
      <c r="C12" s="150" t="n">
        <v>46208</v>
      </c>
      <c r="D12" s="62" t="inlineStr">
        <is>
          <t>Jul</t>
        </is>
      </c>
      <c r="E12" s="151" t="n">
        <v>8</v>
      </c>
      <c r="F12" s="152" t="n">
        <v>-165221</v>
      </c>
      <c r="G12" s="153" t="n">
        <v>922834</v>
      </c>
      <c r="H12" s="154">
        <f>'03_Cost_Levers'!$G$16</f>
        <v/>
      </c>
      <c r="I12" s="154">
        <f>SUMPRODUCT(($D$43:$D$83="T1")*($L$43:$L$83)*($E12&gt;=$O$43:$O$83))-SUMPRODUCT(($D$43:$D$83="T1")*($M$43:$M$83)*($E12=$P$43:$P$83))</f>
        <v/>
      </c>
      <c r="J12" s="154">
        <f>SUMPRODUCT(($D$43:$D$83="T2")*($L$43:$L$83)*($E12&gt;=$O$43:$O$83))-SUMPRODUCT(($D$43:$D$83="T2")*($M$43:$M$83)*($E12=$P$43:$P$83))</f>
        <v/>
      </c>
      <c r="K12" s="154">
        <f>SUMPRODUCT(($D$43:$D$83="T3")*($L$43:$L$83)*($E12&gt;=$O$43:$O$83))-SUMPRODUCT(($D$43:$D$83="T3")*($M$43:$M$83)*($E12=$P$43:$P$83))</f>
        <v/>
      </c>
      <c r="L12" s="154" t="n">
        <v>0</v>
      </c>
      <c r="M12" s="117">
        <f>H12+I12+J12+K12+L12</f>
        <v/>
      </c>
      <c r="N12" s="117">
        <f>F12+M12</f>
        <v/>
      </c>
      <c r="O12" s="117">
        <f>O11+N12</f>
        <v/>
      </c>
      <c r="P12" s="54">
        <f>IF(O12&lt;500000,"⚠ Crisis (&lt;$500K)",IF(O12&lt;1000000,"Caution","OK"))</f>
        <v/>
      </c>
    </row>
    <row r="13" ht="20" customHeight="1" s="121">
      <c r="B13" s="98" t="inlineStr">
        <is>
          <t>W28</t>
        </is>
      </c>
      <c r="C13" s="150" t="n">
        <v>46215</v>
      </c>
      <c r="D13" s="62" t="inlineStr">
        <is>
          <t>Jul</t>
        </is>
      </c>
      <c r="E13" s="151" t="n">
        <v>9</v>
      </c>
      <c r="F13" s="152" t="n">
        <v>-109130</v>
      </c>
      <c r="G13" s="153" t="n">
        <v>813704</v>
      </c>
      <c r="H13" s="154">
        <f>'03_Cost_Levers'!$G$16</f>
        <v/>
      </c>
      <c r="I13" s="154">
        <f>SUMPRODUCT(($D$43:$D$83="T1")*($L$43:$L$83)*($E13&gt;=$O$43:$O$83))-SUMPRODUCT(($D$43:$D$83="T1")*($M$43:$M$83)*($E13=$P$43:$P$83))</f>
        <v/>
      </c>
      <c r="J13" s="154">
        <f>SUMPRODUCT(($D$43:$D$83="T2")*($L$43:$L$83)*($E13&gt;=$O$43:$O$83))-SUMPRODUCT(($D$43:$D$83="T2")*($M$43:$M$83)*($E13=$P$43:$P$83))</f>
        <v/>
      </c>
      <c r="K13" s="154">
        <f>SUMPRODUCT(($D$43:$D$83="T3")*($L$43:$L$83)*($E13&gt;=$O$43:$O$83))-SUMPRODUCT(($D$43:$D$83="T3")*($M$43:$M$83)*($E13=$P$43:$P$83))</f>
        <v/>
      </c>
      <c r="L13" s="154" t="n">
        <v>0</v>
      </c>
      <c r="M13" s="117">
        <f>H13+I13+J13+K13+L13</f>
        <v/>
      </c>
      <c r="N13" s="117">
        <f>F13+M13</f>
        <v/>
      </c>
      <c r="O13" s="117">
        <f>O12+N13</f>
        <v/>
      </c>
      <c r="P13" s="54">
        <f>IF(O13&lt;500000,"⚠ Crisis (&lt;$500K)",IF(O13&lt;1000000,"Caution","OK"))</f>
        <v/>
      </c>
    </row>
    <row r="14" ht="20" customHeight="1" s="121">
      <c r="B14" s="98" t="inlineStr">
        <is>
          <t>W29</t>
        </is>
      </c>
      <c r="C14" s="150" t="n">
        <v>46222</v>
      </c>
      <c r="D14" s="62" t="inlineStr">
        <is>
          <t>Jul</t>
        </is>
      </c>
      <c r="E14" s="151" t="n">
        <v>10</v>
      </c>
      <c r="F14" s="152" t="n">
        <v>-660599</v>
      </c>
      <c r="G14" s="153" t="n">
        <v>153105</v>
      </c>
      <c r="H14" s="154">
        <f>'03_Cost_Levers'!$G$16</f>
        <v/>
      </c>
      <c r="I14" s="154">
        <f>SUMPRODUCT(($D$43:$D$83="T1")*($L$43:$L$83)*($E14&gt;=$O$43:$O$83))-SUMPRODUCT(($D$43:$D$83="T1")*($M$43:$M$83)*($E14=$P$43:$P$83))</f>
        <v/>
      </c>
      <c r="J14" s="154">
        <f>SUMPRODUCT(($D$43:$D$83="T2")*($L$43:$L$83)*($E14&gt;=$O$43:$O$83))-SUMPRODUCT(($D$43:$D$83="T2")*($M$43:$M$83)*($E14=$P$43:$P$83))</f>
        <v/>
      </c>
      <c r="K14" s="154">
        <f>SUMPRODUCT(($D$43:$D$83="T3")*($L$43:$L$83)*($E14&gt;=$O$43:$O$83))-SUMPRODUCT(($D$43:$D$83="T3")*($M$43:$M$83)*($E14=$P$43:$P$83))</f>
        <v/>
      </c>
      <c r="L14" s="154" t="n">
        <v>0</v>
      </c>
      <c r="M14" s="117">
        <f>H14+I14+J14+K14+L14</f>
        <v/>
      </c>
      <c r="N14" s="117">
        <f>F14+M14</f>
        <v/>
      </c>
      <c r="O14" s="117">
        <f>O13+N14</f>
        <v/>
      </c>
      <c r="P14" s="54">
        <f>IF(O14&lt;500000,"⚠ Crisis (&lt;$500K)",IF(O14&lt;1000000,"Caution","OK"))</f>
        <v/>
      </c>
    </row>
    <row r="15" ht="20" customHeight="1" s="121">
      <c r="B15" s="155" t="inlineStr">
        <is>
          <t>W30</t>
        </is>
      </c>
      <c r="C15" s="156" t="n">
        <v>46229</v>
      </c>
      <c r="D15" s="155" t="inlineStr">
        <is>
          <t>Jul</t>
        </is>
      </c>
      <c r="E15" s="157" t="n">
        <v>11</v>
      </c>
      <c r="F15" s="158" t="n">
        <v>-41339</v>
      </c>
      <c r="G15" s="158" t="n">
        <v>111766</v>
      </c>
      <c r="H15" s="158">
        <f>'03_Cost_Levers'!$G$16</f>
        <v/>
      </c>
      <c r="I15" s="158">
        <f>SUMPRODUCT(($D$43:$D$83="T1")*($L$43:$L$83)*($E15&gt;=$O$43:$O$83))-SUMPRODUCT(($D$43:$D$83="T1")*($M$43:$M$83)*($E15=$P$43:$P$83))</f>
        <v/>
      </c>
      <c r="J15" s="158">
        <f>SUMPRODUCT(($D$43:$D$83="T2")*($L$43:$L$83)*($E15&gt;=$O$43:$O$83))-SUMPRODUCT(($D$43:$D$83="T2")*($M$43:$M$83)*($E15=$P$43:$P$83))</f>
        <v/>
      </c>
      <c r="K15" s="158">
        <f>SUMPRODUCT(($D$43:$D$83="T3")*($L$43:$L$83)*($E15&gt;=$O$43:$O$83))-SUMPRODUCT(($D$43:$D$83="T3")*($M$43:$M$83)*($E15=$P$43:$P$83))</f>
        <v/>
      </c>
      <c r="L15" s="158" t="n">
        <v>0</v>
      </c>
      <c r="M15" s="158">
        <f>H15+I15+J15+K15+L15</f>
        <v/>
      </c>
      <c r="N15" s="158">
        <f>F15+M15</f>
        <v/>
      </c>
      <c r="O15" s="158">
        <f>O14+N15</f>
        <v/>
      </c>
      <c r="P15" s="155" t="inlineStr">
        <is>
          <t>◀ TROUGH (W30)</t>
        </is>
      </c>
    </row>
    <row r="16" ht="20" customHeight="1" s="121">
      <c r="B16" s="98" t="inlineStr">
        <is>
          <t>W31</t>
        </is>
      </c>
      <c r="C16" s="150" t="n">
        <v>46236</v>
      </c>
      <c r="D16" s="62" t="inlineStr">
        <is>
          <t>Aug</t>
        </is>
      </c>
      <c r="E16" s="151" t="n">
        <v>12</v>
      </c>
      <c r="F16" s="152" t="n">
        <v>349424</v>
      </c>
      <c r="G16" s="153" t="n">
        <v>461190</v>
      </c>
      <c r="H16" s="154">
        <f>'03_Cost_Levers'!$G$16</f>
        <v/>
      </c>
      <c r="I16" s="154">
        <f>SUMPRODUCT(($D$43:$D$83="T1")*($L$43:$L$83)*($E16&gt;=$O$43:$O$83))-SUMPRODUCT(($D$43:$D$83="T1")*($M$43:$M$83)*($E16=$P$43:$P$83))</f>
        <v/>
      </c>
      <c r="J16" s="154">
        <f>SUMPRODUCT(($D$43:$D$83="T2")*($L$43:$L$83)*($E16&gt;=$O$43:$O$83))-SUMPRODUCT(($D$43:$D$83="T2")*($M$43:$M$83)*($E16=$P$43:$P$83))</f>
        <v/>
      </c>
      <c r="K16" s="154">
        <f>SUMPRODUCT(($D$43:$D$83="T3")*($L$43:$L$83)*($E16&gt;=$O$43:$O$83))-SUMPRODUCT(($D$43:$D$83="T3")*($M$43:$M$83)*($E16=$P$43:$P$83))</f>
        <v/>
      </c>
      <c r="L16" s="154" t="n">
        <v>0</v>
      </c>
      <c r="M16" s="117">
        <f>H16+I16+J16+K16+L16</f>
        <v/>
      </c>
      <c r="N16" s="117">
        <f>F16+M16</f>
        <v/>
      </c>
      <c r="O16" s="117">
        <f>O15+N16</f>
        <v/>
      </c>
      <c r="P16" s="54">
        <f>IF(O16&lt;500000,"⚠ Crisis (&lt;$500K)",IF(O16&lt;1000000,"Caution","OK"))</f>
        <v/>
      </c>
    </row>
    <row r="17" ht="20" customHeight="1" s="121">
      <c r="B17" s="98" t="inlineStr">
        <is>
          <t>W32</t>
        </is>
      </c>
      <c r="C17" s="150" t="n">
        <v>46243</v>
      </c>
      <c r="D17" s="62" t="inlineStr">
        <is>
          <t>Aug</t>
        </is>
      </c>
      <c r="E17" s="151" t="n">
        <v>13</v>
      </c>
      <c r="F17" s="152" t="n">
        <v>1827963</v>
      </c>
      <c r="G17" s="153" t="n">
        <v>2289153</v>
      </c>
      <c r="H17" s="154">
        <f>'03_Cost_Levers'!$G$16</f>
        <v/>
      </c>
      <c r="I17" s="154">
        <f>SUMPRODUCT(($D$43:$D$83="T1")*($L$43:$L$83)*($E17&gt;=$O$43:$O$83))-SUMPRODUCT(($D$43:$D$83="T1")*($M$43:$M$83)*($E17=$P$43:$P$83))</f>
        <v/>
      </c>
      <c r="J17" s="154">
        <f>SUMPRODUCT(($D$43:$D$83="T2")*($L$43:$L$83)*($E17&gt;=$O$43:$O$83))-SUMPRODUCT(($D$43:$D$83="T2")*($M$43:$M$83)*($E17=$P$43:$P$83))</f>
        <v/>
      </c>
      <c r="K17" s="154">
        <f>SUMPRODUCT(($D$43:$D$83="T3")*($L$43:$L$83)*($E17&gt;=$O$43:$O$83))-SUMPRODUCT(($D$43:$D$83="T3")*($M$43:$M$83)*($E17=$P$43:$P$83))</f>
        <v/>
      </c>
      <c r="L17" s="154" t="n">
        <v>0</v>
      </c>
      <c r="M17" s="117">
        <f>H17+I17+J17+K17+L17</f>
        <v/>
      </c>
      <c r="N17" s="117">
        <f>F17+M17</f>
        <v/>
      </c>
      <c r="O17" s="117">
        <f>O16+N17</f>
        <v/>
      </c>
      <c r="P17" s="54">
        <f>IF(O17&lt;500000,"⚠ Crisis (&lt;$500K)",IF(O17&lt;1000000,"Caution","OK"))</f>
        <v/>
      </c>
    </row>
    <row r="18" ht="20" customHeight="1" s="121">
      <c r="B18" s="98" t="inlineStr">
        <is>
          <t>W33</t>
        </is>
      </c>
      <c r="C18" s="150" t="n">
        <v>46250</v>
      </c>
      <c r="D18" s="62" t="inlineStr">
        <is>
          <t>Aug</t>
        </is>
      </c>
      <c r="E18" s="151" t="n">
        <v>14</v>
      </c>
      <c r="F18" s="152" t="n">
        <v>-384367</v>
      </c>
      <c r="G18" s="153" t="n">
        <v>1904786</v>
      </c>
      <c r="H18" s="154">
        <f>'03_Cost_Levers'!$G$16</f>
        <v/>
      </c>
      <c r="I18" s="154">
        <f>SUMPRODUCT(($D$43:$D$83="T1")*($L$43:$L$83)*($E18&gt;=$O$43:$O$83))-SUMPRODUCT(($D$43:$D$83="T1")*($M$43:$M$83)*($E18=$P$43:$P$83))</f>
        <v/>
      </c>
      <c r="J18" s="154">
        <f>SUMPRODUCT(($D$43:$D$83="T2")*($L$43:$L$83)*($E18&gt;=$O$43:$O$83))-SUMPRODUCT(($D$43:$D$83="T2")*($M$43:$M$83)*($E18=$P$43:$P$83))</f>
        <v/>
      </c>
      <c r="K18" s="154">
        <f>SUMPRODUCT(($D$43:$D$83="T3")*($L$43:$L$83)*($E18&gt;=$O$43:$O$83))-SUMPRODUCT(($D$43:$D$83="T3")*($M$43:$M$83)*($E18=$P$43:$P$83))</f>
        <v/>
      </c>
      <c r="L18" s="154" t="n">
        <v>0</v>
      </c>
      <c r="M18" s="117">
        <f>H18+I18+J18+K18+L18</f>
        <v/>
      </c>
      <c r="N18" s="117">
        <f>F18+M18</f>
        <v/>
      </c>
      <c r="O18" s="117">
        <f>O17+N18</f>
        <v/>
      </c>
      <c r="P18" s="54">
        <f>IF(O18&lt;500000,"⚠ Crisis (&lt;$500K)",IF(O18&lt;1000000,"Caution","OK"))</f>
        <v/>
      </c>
    </row>
    <row r="19" ht="20" customHeight="1" s="121">
      <c r="B19" s="98" t="inlineStr">
        <is>
          <t>W34</t>
        </is>
      </c>
      <c r="C19" s="150" t="n">
        <v>46257</v>
      </c>
      <c r="D19" s="62" t="inlineStr">
        <is>
          <t>Aug</t>
        </is>
      </c>
      <c r="E19" s="151" t="n">
        <v>15</v>
      </c>
      <c r="F19" s="152" t="n">
        <v>-166451</v>
      </c>
      <c r="G19" s="153" t="n">
        <v>1738335</v>
      </c>
      <c r="H19" s="154">
        <f>'03_Cost_Levers'!$G$16</f>
        <v/>
      </c>
      <c r="I19" s="154">
        <f>SUMPRODUCT(($D$43:$D$83="T1")*($L$43:$L$83)*($E19&gt;=$O$43:$O$83))-SUMPRODUCT(($D$43:$D$83="T1")*($M$43:$M$83)*($E19=$P$43:$P$83))</f>
        <v/>
      </c>
      <c r="J19" s="154">
        <f>SUMPRODUCT(($D$43:$D$83="T2")*($L$43:$L$83)*($E19&gt;=$O$43:$O$83))-SUMPRODUCT(($D$43:$D$83="T2")*($M$43:$M$83)*($E19=$P$43:$P$83))</f>
        <v/>
      </c>
      <c r="K19" s="154">
        <f>SUMPRODUCT(($D$43:$D$83="T3")*($L$43:$L$83)*($E19&gt;=$O$43:$O$83))-SUMPRODUCT(($D$43:$D$83="T3")*($M$43:$M$83)*($E19=$P$43:$P$83))</f>
        <v/>
      </c>
      <c r="L19" s="154">
        <f>('04_Bookings_Inputs'!$D$5+'04_Bookings_Inputs'!$D$6)*0.5</f>
        <v/>
      </c>
      <c r="M19" s="117">
        <f>H19+I19+J19+K19+L19</f>
        <v/>
      </c>
      <c r="N19" s="117">
        <f>F19+M19</f>
        <v/>
      </c>
      <c r="O19" s="117">
        <f>O18+N19</f>
        <v/>
      </c>
      <c r="P19" s="54">
        <f>IF(O19&lt;500000,"⚠ Crisis (&lt;$500K)",IF(O19&lt;1000000,"Caution","OK"))</f>
        <v/>
      </c>
    </row>
    <row r="20" ht="20" customHeight="1" s="121">
      <c r="B20" s="98" t="inlineStr">
        <is>
          <t>W35</t>
        </is>
      </c>
      <c r="C20" s="150" t="n">
        <v>46264</v>
      </c>
      <c r="D20" s="62" t="inlineStr">
        <is>
          <t>Aug</t>
        </is>
      </c>
      <c r="E20" s="151" t="n">
        <v>16</v>
      </c>
      <c r="F20" s="152" t="n">
        <v>363823</v>
      </c>
      <c r="G20" s="153" t="n">
        <v>2102158</v>
      </c>
      <c r="H20" s="154">
        <f>'03_Cost_Levers'!$G$16</f>
        <v/>
      </c>
      <c r="I20" s="154">
        <f>SUMPRODUCT(($D$43:$D$83="T1")*($L$43:$L$83)*($E20&gt;=$O$43:$O$83))-SUMPRODUCT(($D$43:$D$83="T1")*($M$43:$M$83)*($E20=$P$43:$P$83))</f>
        <v/>
      </c>
      <c r="J20" s="154">
        <f>SUMPRODUCT(($D$43:$D$83="T2")*($L$43:$L$83)*($E20&gt;=$O$43:$O$83))-SUMPRODUCT(($D$43:$D$83="T2")*($M$43:$M$83)*($E20=$P$43:$P$83))</f>
        <v/>
      </c>
      <c r="K20" s="154">
        <f>SUMPRODUCT(($D$43:$D$83="T3")*($L$43:$L$83)*($E20&gt;=$O$43:$O$83))-SUMPRODUCT(($D$43:$D$83="T3")*($M$43:$M$83)*($E20=$P$43:$P$83))</f>
        <v/>
      </c>
      <c r="L20" s="154">
        <f>('04_Bookings_Inputs'!$D$5+'04_Bookings_Inputs'!$D$6)*0.5</f>
        <v/>
      </c>
      <c r="M20" s="117">
        <f>H20+I20+J20+K20+L20</f>
        <v/>
      </c>
      <c r="N20" s="117">
        <f>F20+M20</f>
        <v/>
      </c>
      <c r="O20" s="117">
        <f>O19+N20</f>
        <v/>
      </c>
      <c r="P20" s="54">
        <f>IF(O20&lt;500000,"⚠ Crisis (&lt;$500K)",IF(O20&lt;1000000,"Caution","OK"))</f>
        <v/>
      </c>
    </row>
    <row r="21" ht="20" customHeight="1" s="121">
      <c r="B21" s="98" t="inlineStr">
        <is>
          <t>W36</t>
        </is>
      </c>
      <c r="C21" s="150" t="n">
        <v>46271</v>
      </c>
      <c r="D21" s="62" t="inlineStr">
        <is>
          <t>Sep</t>
        </is>
      </c>
      <c r="E21" s="151" t="n">
        <v>17</v>
      </c>
      <c r="F21" s="152" t="n">
        <v>440107</v>
      </c>
      <c r="G21" s="153" t="n">
        <v>2542265</v>
      </c>
      <c r="H21" s="154">
        <f>'03_Cost_Levers'!$G$16</f>
        <v/>
      </c>
      <c r="I21" s="154">
        <f>SUMPRODUCT(($D$43:$D$83="T1")*($L$43:$L$83)*($E21&gt;=$O$43:$O$83))-SUMPRODUCT(($D$43:$D$83="T1")*($M$43:$M$83)*($E21=$P$43:$P$83))</f>
        <v/>
      </c>
      <c r="J21" s="154">
        <f>SUMPRODUCT(($D$43:$D$83="T2")*($L$43:$L$83)*($E21&gt;=$O$43:$O$83))-SUMPRODUCT(($D$43:$D$83="T2")*($M$43:$M$83)*($E21=$P$43:$P$83))</f>
        <v/>
      </c>
      <c r="K21" s="154">
        <f>SUMPRODUCT(($D$43:$D$83="T3")*($L$43:$L$83)*($E21&gt;=$O$43:$O$83))-SUMPRODUCT(($D$43:$D$83="T3")*($M$43:$M$83)*($E21=$P$43:$P$83))</f>
        <v/>
      </c>
      <c r="L21" s="154" t="n">
        <v>0</v>
      </c>
      <c r="M21" s="117">
        <f>H21+I21+J21+K21+L21</f>
        <v/>
      </c>
      <c r="N21" s="117">
        <f>F21+M21</f>
        <v/>
      </c>
      <c r="O21" s="117">
        <f>O20+N21</f>
        <v/>
      </c>
      <c r="P21" s="54">
        <f>IF(O21&lt;500000,"⚠ Crisis (&lt;$500K)",IF(O21&lt;1000000,"Caution","OK"))</f>
        <v/>
      </c>
    </row>
    <row r="22" ht="20" customHeight="1" s="121">
      <c r="B22" s="98" t="inlineStr">
        <is>
          <t>W37</t>
        </is>
      </c>
      <c r="C22" s="150" t="n">
        <v>46278</v>
      </c>
      <c r="D22" s="62" t="inlineStr">
        <is>
          <t>Sep</t>
        </is>
      </c>
      <c r="E22" s="151" t="n">
        <v>18</v>
      </c>
      <c r="F22" s="152" t="n">
        <v>145700</v>
      </c>
      <c r="G22" s="153" t="n">
        <v>2687965</v>
      </c>
      <c r="H22" s="154">
        <f>'03_Cost_Levers'!$G$16</f>
        <v/>
      </c>
      <c r="I22" s="154">
        <f>SUMPRODUCT(($D$43:$D$83="T1")*($L$43:$L$83)*($E22&gt;=$O$43:$O$83))-SUMPRODUCT(($D$43:$D$83="T1")*($M$43:$M$83)*($E22=$P$43:$P$83))</f>
        <v/>
      </c>
      <c r="J22" s="154">
        <f>SUMPRODUCT(($D$43:$D$83="T2")*($L$43:$L$83)*($E22&gt;=$O$43:$O$83))-SUMPRODUCT(($D$43:$D$83="T2")*($M$43:$M$83)*($E22=$P$43:$P$83))</f>
        <v/>
      </c>
      <c r="K22" s="154">
        <f>SUMPRODUCT(($D$43:$D$83="T3")*($L$43:$L$83)*($E22&gt;=$O$43:$O$83))-SUMPRODUCT(($D$43:$D$83="T3")*($M$43:$M$83)*($E22=$P$43:$P$83))</f>
        <v/>
      </c>
      <c r="L22" s="154" t="n">
        <v>0</v>
      </c>
      <c r="M22" s="117">
        <f>H22+I22+J22+K22+L22</f>
        <v/>
      </c>
      <c r="N22" s="117">
        <f>F22+M22</f>
        <v/>
      </c>
      <c r="O22" s="117">
        <f>O21+N22</f>
        <v/>
      </c>
      <c r="P22" s="54">
        <f>IF(O22&lt;500000,"⚠ Crisis (&lt;$500K)",IF(O22&lt;1000000,"Caution","OK"))</f>
        <v/>
      </c>
    </row>
    <row r="23" ht="20" customHeight="1" s="121">
      <c r="B23" s="98" t="inlineStr">
        <is>
          <t>W38</t>
        </is>
      </c>
      <c r="C23" s="150" t="n">
        <v>46285</v>
      </c>
      <c r="D23" s="62" t="inlineStr">
        <is>
          <t>Sep</t>
        </is>
      </c>
      <c r="E23" s="151" t="n">
        <v>19</v>
      </c>
      <c r="F23" s="152" t="n">
        <v>-488317</v>
      </c>
      <c r="G23" s="153" t="n">
        <v>2199648</v>
      </c>
      <c r="H23" s="154">
        <f>'03_Cost_Levers'!$G$16</f>
        <v/>
      </c>
      <c r="I23" s="154">
        <f>SUMPRODUCT(($D$43:$D$83="T1")*($L$43:$L$83)*($E23&gt;=$O$43:$O$83))-SUMPRODUCT(($D$43:$D$83="T1")*($M$43:$M$83)*($E23=$P$43:$P$83))</f>
        <v/>
      </c>
      <c r="J23" s="154">
        <f>SUMPRODUCT(($D$43:$D$83="T2")*($L$43:$L$83)*($E23&gt;=$O$43:$O$83))-SUMPRODUCT(($D$43:$D$83="T2")*($M$43:$M$83)*($E23=$P$43:$P$83))</f>
        <v/>
      </c>
      <c r="K23" s="154">
        <f>SUMPRODUCT(($D$43:$D$83="T3")*($L$43:$L$83)*($E23&gt;=$O$43:$O$83))-SUMPRODUCT(($D$43:$D$83="T3")*($M$43:$M$83)*($E23=$P$43:$P$83))</f>
        <v/>
      </c>
      <c r="L23" s="154" t="n">
        <v>0</v>
      </c>
      <c r="M23" s="117">
        <f>H23+I23+J23+K23+L23</f>
        <v/>
      </c>
      <c r="N23" s="117">
        <f>F23+M23</f>
        <v/>
      </c>
      <c r="O23" s="117">
        <f>O22+N23</f>
        <v/>
      </c>
      <c r="P23" s="54">
        <f>IF(O23&lt;500000,"⚠ Crisis (&lt;$500K)",IF(O23&lt;1000000,"Caution","OK"))</f>
        <v/>
      </c>
    </row>
    <row r="24" ht="20" customHeight="1" s="121">
      <c r="B24" s="98" t="inlineStr">
        <is>
          <t>W39</t>
        </is>
      </c>
      <c r="C24" s="150" t="n">
        <v>46292</v>
      </c>
      <c r="D24" s="62" t="inlineStr">
        <is>
          <t>Sep</t>
        </is>
      </c>
      <c r="E24" s="151" t="n">
        <v>20</v>
      </c>
      <c r="F24" s="152" t="n">
        <v>126943</v>
      </c>
      <c r="G24" s="153" t="n">
        <v>2326591</v>
      </c>
      <c r="H24" s="154">
        <f>'03_Cost_Levers'!$G$16</f>
        <v/>
      </c>
      <c r="I24" s="154">
        <f>SUMPRODUCT(($D$43:$D$83="T1")*($L$43:$L$83)*($E24&gt;=$O$43:$O$83))-SUMPRODUCT(($D$43:$D$83="T1")*($M$43:$M$83)*($E24=$P$43:$P$83))</f>
        <v/>
      </c>
      <c r="J24" s="154">
        <f>SUMPRODUCT(($D$43:$D$83="T2")*($L$43:$L$83)*($E24&gt;=$O$43:$O$83))-SUMPRODUCT(($D$43:$D$83="T2")*($M$43:$M$83)*($E24=$P$43:$P$83))</f>
        <v/>
      </c>
      <c r="K24" s="154">
        <f>SUMPRODUCT(($D$43:$D$83="T3")*($L$43:$L$83)*($E24&gt;=$O$43:$O$83))-SUMPRODUCT(($D$43:$D$83="T3")*($M$43:$M$83)*($E24=$P$43:$P$83))</f>
        <v/>
      </c>
      <c r="L24" s="154" t="n">
        <v>0</v>
      </c>
      <c r="M24" s="117">
        <f>H24+I24+J24+K24+L24</f>
        <v/>
      </c>
      <c r="N24" s="117">
        <f>F24+M24</f>
        <v/>
      </c>
      <c r="O24" s="117">
        <f>O23+N24</f>
        <v/>
      </c>
      <c r="P24" s="54">
        <f>IF(O24&lt;500000,"⚠ Crisis (&lt;$500K)",IF(O24&lt;1000000,"Caution","OK"))</f>
        <v/>
      </c>
    </row>
    <row r="25" ht="20" customHeight="1" s="121">
      <c r="B25" s="98" t="inlineStr">
        <is>
          <t>W40</t>
        </is>
      </c>
      <c r="C25" s="150" t="n">
        <v>46299</v>
      </c>
      <c r="D25" s="62" t="inlineStr">
        <is>
          <t>Oct</t>
        </is>
      </c>
      <c r="E25" s="151" t="n">
        <v>21</v>
      </c>
      <c r="F25" s="152" t="n">
        <v>149587</v>
      </c>
      <c r="G25" s="153" t="n">
        <v>2476178</v>
      </c>
      <c r="H25" s="154">
        <f>'03_Cost_Levers'!$G$16</f>
        <v/>
      </c>
      <c r="I25" s="154">
        <f>SUMPRODUCT(($D$43:$D$83="T1")*($L$43:$L$83)*($E25&gt;=$O$43:$O$83))-SUMPRODUCT(($D$43:$D$83="T1")*($M$43:$M$83)*($E25=$P$43:$P$83))</f>
        <v/>
      </c>
      <c r="J25" s="154">
        <f>SUMPRODUCT(($D$43:$D$83="T2")*($L$43:$L$83)*($E25&gt;=$O$43:$O$83))-SUMPRODUCT(($D$43:$D$83="T2")*($M$43:$M$83)*($E25=$P$43:$P$83))</f>
        <v/>
      </c>
      <c r="K25" s="154">
        <f>SUMPRODUCT(($D$43:$D$83="T3")*($L$43:$L$83)*($E25&gt;=$O$43:$O$83))-SUMPRODUCT(($D$43:$D$83="T3")*($M$43:$M$83)*($E25=$P$43:$P$83))</f>
        <v/>
      </c>
      <c r="L25" s="154" t="n">
        <v>0</v>
      </c>
      <c r="M25" s="117">
        <f>H25+I25+J25+K25+L25</f>
        <v/>
      </c>
      <c r="N25" s="117">
        <f>F25+M25</f>
        <v/>
      </c>
      <c r="O25" s="117">
        <f>O24+N25</f>
        <v/>
      </c>
      <c r="P25" s="54">
        <f>IF(O25&lt;500000,"⚠ Crisis (&lt;$500K)",IF(O25&lt;1000000,"Caution","OK"))</f>
        <v/>
      </c>
    </row>
    <row r="26" ht="20" customHeight="1" s="121">
      <c r="B26" s="98" t="inlineStr">
        <is>
          <t>W41</t>
        </is>
      </c>
      <c r="C26" s="150" t="n">
        <v>46306</v>
      </c>
      <c r="D26" s="62" t="inlineStr">
        <is>
          <t>Oct</t>
        </is>
      </c>
      <c r="E26" s="151" t="n">
        <v>22</v>
      </c>
      <c r="F26" s="152" t="n">
        <v>1007089</v>
      </c>
      <c r="G26" s="153" t="n">
        <v>3483267</v>
      </c>
      <c r="H26" s="154">
        <f>'03_Cost_Levers'!$G$16</f>
        <v/>
      </c>
      <c r="I26" s="154">
        <f>SUMPRODUCT(($D$43:$D$83="T1")*($L$43:$L$83)*($E26&gt;=$O$43:$O$83))-SUMPRODUCT(($D$43:$D$83="T1")*($M$43:$M$83)*($E26=$P$43:$P$83))</f>
        <v/>
      </c>
      <c r="J26" s="154">
        <f>SUMPRODUCT(($D$43:$D$83="T2")*($L$43:$L$83)*($E26&gt;=$O$43:$O$83))-SUMPRODUCT(($D$43:$D$83="T2")*($M$43:$M$83)*($E26=$P$43:$P$83))</f>
        <v/>
      </c>
      <c r="K26" s="154">
        <f>SUMPRODUCT(($D$43:$D$83="T3")*($L$43:$L$83)*($E26&gt;=$O$43:$O$83))-SUMPRODUCT(($D$43:$D$83="T3")*($M$43:$M$83)*($E26=$P$43:$P$83))</f>
        <v/>
      </c>
      <c r="L26" s="154" t="n">
        <v>0</v>
      </c>
      <c r="M26" s="117">
        <f>H26+I26+J26+K26+L26</f>
        <v/>
      </c>
      <c r="N26" s="117">
        <f>F26+M26</f>
        <v/>
      </c>
      <c r="O26" s="117">
        <f>O25+N26</f>
        <v/>
      </c>
      <c r="P26" s="54">
        <f>IF(O26&lt;500000,"⚠ Crisis (&lt;$500K)",IF(O26&lt;1000000,"Caution","OK"))</f>
        <v/>
      </c>
    </row>
    <row r="27" ht="20" customHeight="1" s="121">
      <c r="B27" s="98" t="inlineStr">
        <is>
          <t>W42</t>
        </is>
      </c>
      <c r="C27" s="150" t="n">
        <v>46313</v>
      </c>
      <c r="D27" s="62" t="inlineStr">
        <is>
          <t>Oct</t>
        </is>
      </c>
      <c r="E27" s="151" t="n">
        <v>23</v>
      </c>
      <c r="F27" s="152" t="n">
        <v>-686778</v>
      </c>
      <c r="G27" s="153" t="n">
        <v>2796489</v>
      </c>
      <c r="H27" s="154">
        <f>'03_Cost_Levers'!$G$16</f>
        <v/>
      </c>
      <c r="I27" s="154">
        <f>SUMPRODUCT(($D$43:$D$83="T1")*($L$43:$L$83)*($E27&gt;=$O$43:$O$83))-SUMPRODUCT(($D$43:$D$83="T1")*($M$43:$M$83)*($E27=$P$43:$P$83))</f>
        <v/>
      </c>
      <c r="J27" s="154">
        <f>SUMPRODUCT(($D$43:$D$83="T2")*($L$43:$L$83)*($E27&gt;=$O$43:$O$83))-SUMPRODUCT(($D$43:$D$83="T2")*($M$43:$M$83)*($E27=$P$43:$P$83))</f>
        <v/>
      </c>
      <c r="K27" s="154">
        <f>SUMPRODUCT(($D$43:$D$83="T3")*($L$43:$L$83)*($E27&gt;=$O$43:$O$83))-SUMPRODUCT(($D$43:$D$83="T3")*($M$43:$M$83)*($E27=$P$43:$P$83))</f>
        <v/>
      </c>
      <c r="L27" s="154" t="n">
        <v>0</v>
      </c>
      <c r="M27" s="117">
        <f>H27+I27+J27+K27+L27</f>
        <v/>
      </c>
      <c r="N27" s="117">
        <f>F27+M27</f>
        <v/>
      </c>
      <c r="O27" s="117">
        <f>O26+N27</f>
        <v/>
      </c>
      <c r="P27" s="54">
        <f>IF(O27&lt;500000,"⚠ Crisis (&lt;$500K)",IF(O27&lt;1000000,"Caution","OK"))</f>
        <v/>
      </c>
    </row>
    <row r="28" ht="20" customHeight="1" s="121">
      <c r="B28" s="98" t="inlineStr">
        <is>
          <t>W43</t>
        </is>
      </c>
      <c r="C28" s="150" t="n">
        <v>46320</v>
      </c>
      <c r="D28" s="62" t="inlineStr">
        <is>
          <t>Oct</t>
        </is>
      </c>
      <c r="E28" s="151" t="n">
        <v>24</v>
      </c>
      <c r="F28" s="152" t="n">
        <v>110920</v>
      </c>
      <c r="G28" s="153" t="n">
        <v>2907409</v>
      </c>
      <c r="H28" s="154">
        <f>'03_Cost_Levers'!$G$16</f>
        <v/>
      </c>
      <c r="I28" s="154">
        <f>SUMPRODUCT(($D$43:$D$83="T1")*($L$43:$L$83)*($E28&gt;=$O$43:$O$83))-SUMPRODUCT(($D$43:$D$83="T1")*($M$43:$M$83)*($E28=$P$43:$P$83))</f>
        <v/>
      </c>
      <c r="J28" s="154">
        <f>SUMPRODUCT(($D$43:$D$83="T2")*($L$43:$L$83)*($E28&gt;=$O$43:$O$83))-SUMPRODUCT(($D$43:$D$83="T2")*($M$43:$M$83)*($E28=$P$43:$P$83))</f>
        <v/>
      </c>
      <c r="K28" s="154">
        <f>SUMPRODUCT(($D$43:$D$83="T3")*($L$43:$L$83)*($E28&gt;=$O$43:$O$83))-SUMPRODUCT(($D$43:$D$83="T3")*($M$43:$M$83)*($E28=$P$43:$P$83))</f>
        <v/>
      </c>
      <c r="L28" s="154" t="n">
        <v>0</v>
      </c>
      <c r="M28" s="117">
        <f>H28+I28+J28+K28+L28</f>
        <v/>
      </c>
      <c r="N28" s="117">
        <f>F28+M28</f>
        <v/>
      </c>
      <c r="O28" s="117">
        <f>O27+N28</f>
        <v/>
      </c>
      <c r="P28" s="54">
        <f>IF(O28&lt;500000,"⚠ Crisis (&lt;$500K)",IF(O28&lt;1000000,"Caution","OK"))</f>
        <v/>
      </c>
    </row>
    <row r="29" ht="20" customHeight="1" s="121">
      <c r="B29" s="98" t="inlineStr">
        <is>
          <t>W44</t>
        </is>
      </c>
      <c r="C29" s="150" t="n">
        <v>46327</v>
      </c>
      <c r="D29" s="62" t="inlineStr">
        <is>
          <t>Nov</t>
        </is>
      </c>
      <c r="E29" s="151" t="n">
        <v>25</v>
      </c>
      <c r="F29" s="152" t="n">
        <v>97463</v>
      </c>
      <c r="G29" s="153" t="n">
        <v>3004872</v>
      </c>
      <c r="H29" s="154">
        <f>'03_Cost_Levers'!$G$16</f>
        <v/>
      </c>
      <c r="I29" s="154">
        <f>SUMPRODUCT(($D$43:$D$83="T1")*($L$43:$L$83)*($E29&gt;=$O$43:$O$83))-SUMPRODUCT(($D$43:$D$83="T1")*($M$43:$M$83)*($E29=$P$43:$P$83))</f>
        <v/>
      </c>
      <c r="J29" s="154">
        <f>SUMPRODUCT(($D$43:$D$83="T2")*($L$43:$L$83)*($E29&gt;=$O$43:$O$83))-SUMPRODUCT(($D$43:$D$83="T2")*($M$43:$M$83)*($E29=$P$43:$P$83))</f>
        <v/>
      </c>
      <c r="K29" s="154">
        <f>SUMPRODUCT(($D$43:$D$83="T3")*($L$43:$L$83)*($E29&gt;=$O$43:$O$83))-SUMPRODUCT(($D$43:$D$83="T3")*($M$43:$M$83)*($E29=$P$43:$P$83))</f>
        <v/>
      </c>
      <c r="L29" s="154" t="n">
        <v>0</v>
      </c>
      <c r="M29" s="117">
        <f>H29+I29+J29+K29+L29</f>
        <v/>
      </c>
      <c r="N29" s="117">
        <f>F29+M29</f>
        <v/>
      </c>
      <c r="O29" s="117">
        <f>O28+N29</f>
        <v/>
      </c>
      <c r="P29" s="54">
        <f>IF(O29&lt;500000,"⚠ Crisis (&lt;$500K)",IF(O29&lt;1000000,"Caution","OK"))</f>
        <v/>
      </c>
    </row>
    <row r="30" ht="20" customHeight="1" s="121">
      <c r="B30" s="98" t="inlineStr">
        <is>
          <t>W45</t>
        </is>
      </c>
      <c r="C30" s="150" t="n">
        <v>46334</v>
      </c>
      <c r="D30" s="62" t="inlineStr">
        <is>
          <t>Nov</t>
        </is>
      </c>
      <c r="E30" s="151" t="n">
        <v>26</v>
      </c>
      <c r="F30" s="152" t="n">
        <v>308515</v>
      </c>
      <c r="G30" s="153" t="n">
        <v>3313387</v>
      </c>
      <c r="H30" s="154">
        <f>'03_Cost_Levers'!$G$16</f>
        <v/>
      </c>
      <c r="I30" s="154">
        <f>SUMPRODUCT(($D$43:$D$83="T1")*($L$43:$L$83)*($E30&gt;=$O$43:$O$83))-SUMPRODUCT(($D$43:$D$83="T1")*($M$43:$M$83)*($E30=$P$43:$P$83))</f>
        <v/>
      </c>
      <c r="J30" s="154">
        <f>SUMPRODUCT(($D$43:$D$83="T2")*($L$43:$L$83)*($E30&gt;=$O$43:$O$83))-SUMPRODUCT(($D$43:$D$83="T2")*($M$43:$M$83)*($E30=$P$43:$P$83))</f>
        <v/>
      </c>
      <c r="K30" s="154">
        <f>SUMPRODUCT(($D$43:$D$83="T3")*($L$43:$L$83)*($E30&gt;=$O$43:$O$83))-SUMPRODUCT(($D$43:$D$83="T3")*($M$43:$M$83)*($E30=$P$43:$P$83))</f>
        <v/>
      </c>
      <c r="L30" s="154" t="n">
        <v>0</v>
      </c>
      <c r="M30" s="117">
        <f>H30+I30+J30+K30+L30</f>
        <v/>
      </c>
      <c r="N30" s="117">
        <f>F30+M30</f>
        <v/>
      </c>
      <c r="O30" s="117">
        <f>O29+N30</f>
        <v/>
      </c>
      <c r="P30" s="54">
        <f>IF(O30&lt;500000,"⚠ Crisis (&lt;$500K)",IF(O30&lt;1000000,"Caution","OK"))</f>
        <v/>
      </c>
    </row>
    <row r="31" ht="20" customHeight="1" s="121">
      <c r="B31" s="98" t="inlineStr">
        <is>
          <t>W46</t>
        </is>
      </c>
      <c r="C31" s="150" t="n">
        <v>46341</v>
      </c>
      <c r="D31" s="62" t="inlineStr">
        <is>
          <t>Nov</t>
        </is>
      </c>
      <c r="E31" s="151" t="n">
        <v>27</v>
      </c>
      <c r="F31" s="152" t="n">
        <v>-95370</v>
      </c>
      <c r="G31" s="153" t="n">
        <v>3218017</v>
      </c>
      <c r="H31" s="154">
        <f>'03_Cost_Levers'!$G$16</f>
        <v/>
      </c>
      <c r="I31" s="154">
        <f>SUMPRODUCT(($D$43:$D$83="T1")*($L$43:$L$83)*($E31&gt;=$O$43:$O$83))-SUMPRODUCT(($D$43:$D$83="T1")*($M$43:$M$83)*($E31=$P$43:$P$83))</f>
        <v/>
      </c>
      <c r="J31" s="154">
        <f>SUMPRODUCT(($D$43:$D$83="T2")*($L$43:$L$83)*($E31&gt;=$O$43:$O$83))-SUMPRODUCT(($D$43:$D$83="T2")*($M$43:$M$83)*($E31=$P$43:$P$83))</f>
        <v/>
      </c>
      <c r="K31" s="154">
        <f>SUMPRODUCT(($D$43:$D$83="T3")*($L$43:$L$83)*($E31&gt;=$O$43:$O$83))-SUMPRODUCT(($D$43:$D$83="T3")*($M$43:$M$83)*($E31=$P$43:$P$83))</f>
        <v/>
      </c>
      <c r="L31" s="154" t="n">
        <v>0</v>
      </c>
      <c r="M31" s="117">
        <f>H31+I31+J31+K31+L31</f>
        <v/>
      </c>
      <c r="N31" s="117">
        <f>F31+M31</f>
        <v/>
      </c>
      <c r="O31" s="117">
        <f>O30+N31</f>
        <v/>
      </c>
      <c r="P31" s="54">
        <f>IF(O31&lt;500000,"⚠ Crisis (&lt;$500K)",IF(O31&lt;1000000,"Caution","OK"))</f>
        <v/>
      </c>
    </row>
    <row r="32" ht="20" customHeight="1" s="121">
      <c r="B32" s="98" t="inlineStr">
        <is>
          <t>W47</t>
        </is>
      </c>
      <c r="C32" s="150" t="n">
        <v>46348</v>
      </c>
      <c r="D32" s="62" t="inlineStr">
        <is>
          <t>Nov</t>
        </is>
      </c>
      <c r="E32" s="151" t="n">
        <v>28</v>
      </c>
      <c r="F32" s="152" t="n">
        <v>-336667</v>
      </c>
      <c r="G32" s="153" t="n">
        <v>2881350</v>
      </c>
      <c r="H32" s="154">
        <f>'03_Cost_Levers'!$G$16</f>
        <v/>
      </c>
      <c r="I32" s="154">
        <f>SUMPRODUCT(($D$43:$D$83="T1")*($L$43:$L$83)*($E32&gt;=$O$43:$O$83))-SUMPRODUCT(($D$43:$D$83="T1")*($M$43:$M$83)*($E32=$P$43:$P$83))</f>
        <v/>
      </c>
      <c r="J32" s="154">
        <f>SUMPRODUCT(($D$43:$D$83="T2")*($L$43:$L$83)*($E32&gt;=$O$43:$O$83))-SUMPRODUCT(($D$43:$D$83="T2")*($M$43:$M$83)*($E32=$P$43:$P$83))</f>
        <v/>
      </c>
      <c r="K32" s="154">
        <f>SUMPRODUCT(($D$43:$D$83="T3")*($L$43:$L$83)*($E32&gt;=$O$43:$O$83))-SUMPRODUCT(($D$43:$D$83="T3")*($M$43:$M$83)*($E32=$P$43:$P$83))</f>
        <v/>
      </c>
      <c r="L32" s="154">
        <f>'04_Bookings_Inputs'!$D$7*0.5</f>
        <v/>
      </c>
      <c r="M32" s="117">
        <f>H32+I32+J32+K32+L32</f>
        <v/>
      </c>
      <c r="N32" s="117">
        <f>F32+M32</f>
        <v/>
      </c>
      <c r="O32" s="117">
        <f>O31+N32</f>
        <v/>
      </c>
      <c r="P32" s="54">
        <f>IF(O32&lt;500000,"⚠ Crisis (&lt;$500K)",IF(O32&lt;1000000,"Caution","OK"))</f>
        <v/>
      </c>
    </row>
    <row r="33" ht="20" customHeight="1" s="121">
      <c r="B33" s="98" t="inlineStr">
        <is>
          <t>W48</t>
        </is>
      </c>
      <c r="C33" s="150" t="n">
        <v>46355</v>
      </c>
      <c r="D33" s="62" t="inlineStr">
        <is>
          <t>Nov</t>
        </is>
      </c>
      <c r="E33" s="151" t="n">
        <v>29</v>
      </c>
      <c r="F33" s="152" t="n">
        <v>72813</v>
      </c>
      <c r="G33" s="153" t="n">
        <v>2954163</v>
      </c>
      <c r="H33" s="154">
        <f>'03_Cost_Levers'!$G$16</f>
        <v/>
      </c>
      <c r="I33" s="154">
        <f>SUMPRODUCT(($D$43:$D$83="T1")*($L$43:$L$83)*($E33&gt;=$O$43:$O$83))-SUMPRODUCT(($D$43:$D$83="T1")*($M$43:$M$83)*($E33=$P$43:$P$83))</f>
        <v/>
      </c>
      <c r="J33" s="154">
        <f>SUMPRODUCT(($D$43:$D$83="T2")*($L$43:$L$83)*($E33&gt;=$O$43:$O$83))-SUMPRODUCT(($D$43:$D$83="T2")*($M$43:$M$83)*($E33=$P$43:$P$83))</f>
        <v/>
      </c>
      <c r="K33" s="154">
        <f>SUMPRODUCT(($D$43:$D$83="T3")*($L$43:$L$83)*($E33&gt;=$O$43:$O$83))-SUMPRODUCT(($D$43:$D$83="T3")*($M$43:$M$83)*($E33=$P$43:$P$83))</f>
        <v/>
      </c>
      <c r="L33" s="154">
        <f>'04_Bookings_Inputs'!$D$7*0.5</f>
        <v/>
      </c>
      <c r="M33" s="117">
        <f>H33+I33+J33+K33+L33</f>
        <v/>
      </c>
      <c r="N33" s="117">
        <f>F33+M33</f>
        <v/>
      </c>
      <c r="O33" s="117">
        <f>O32+N33</f>
        <v/>
      </c>
      <c r="P33" s="54">
        <f>IF(O33&lt;500000,"⚠ Crisis (&lt;$500K)",IF(O33&lt;1000000,"Caution","OK"))</f>
        <v/>
      </c>
    </row>
    <row r="34" ht="20" customHeight="1" s="121">
      <c r="B34" s="98" t="inlineStr">
        <is>
          <t>W49</t>
        </is>
      </c>
      <c r="C34" s="150" t="n">
        <v>46362</v>
      </c>
      <c r="D34" s="62" t="inlineStr">
        <is>
          <t>Dec</t>
        </is>
      </c>
      <c r="E34" s="151" t="n">
        <v>30</v>
      </c>
      <c r="F34" s="152" t="n">
        <v>259445</v>
      </c>
      <c r="G34" s="153" t="n">
        <v>3213608</v>
      </c>
      <c r="H34" s="154">
        <f>'03_Cost_Levers'!$G$16</f>
        <v/>
      </c>
      <c r="I34" s="154">
        <f>SUMPRODUCT(($D$43:$D$83="T1")*($L$43:$L$83)*($E34&gt;=$O$43:$O$83))-SUMPRODUCT(($D$43:$D$83="T1")*($M$43:$M$83)*($E34=$P$43:$P$83))</f>
        <v/>
      </c>
      <c r="J34" s="154">
        <f>SUMPRODUCT(($D$43:$D$83="T2")*($L$43:$L$83)*($E34&gt;=$O$43:$O$83))-SUMPRODUCT(($D$43:$D$83="T2")*($M$43:$M$83)*($E34=$P$43:$P$83))</f>
        <v/>
      </c>
      <c r="K34" s="154">
        <f>SUMPRODUCT(($D$43:$D$83="T3")*($L$43:$L$83)*($E34&gt;=$O$43:$O$83))-SUMPRODUCT(($D$43:$D$83="T3")*($M$43:$M$83)*($E34=$P$43:$P$83))</f>
        <v/>
      </c>
      <c r="L34" s="154" t="n">
        <v>0</v>
      </c>
      <c r="M34" s="117">
        <f>H34+I34+J34+K34+L34</f>
        <v/>
      </c>
      <c r="N34" s="117">
        <f>F34+M34</f>
        <v/>
      </c>
      <c r="O34" s="117">
        <f>O33+N34</f>
        <v/>
      </c>
      <c r="P34" s="54">
        <f>IF(O34&lt;500000,"⚠ Crisis (&lt;$500K)",IF(O34&lt;1000000,"Caution","OK"))</f>
        <v/>
      </c>
    </row>
    <row r="35" ht="20" customHeight="1" s="121">
      <c r="B35" s="98" t="inlineStr">
        <is>
          <t>W50</t>
        </is>
      </c>
      <c r="C35" s="150" t="n">
        <v>46369</v>
      </c>
      <c r="D35" s="62" t="inlineStr">
        <is>
          <t>Dec</t>
        </is>
      </c>
      <c r="E35" s="151" t="n">
        <v>31</v>
      </c>
      <c r="F35" s="152" t="n">
        <v>45645</v>
      </c>
      <c r="G35" s="153" t="n">
        <v>3259254</v>
      </c>
      <c r="H35" s="154">
        <f>'03_Cost_Levers'!$G$16</f>
        <v/>
      </c>
      <c r="I35" s="154">
        <f>SUMPRODUCT(($D$43:$D$83="T1")*($L$43:$L$83)*($E35&gt;=$O$43:$O$83))-SUMPRODUCT(($D$43:$D$83="T1")*($M$43:$M$83)*($E35=$P$43:$P$83))</f>
        <v/>
      </c>
      <c r="J35" s="154">
        <f>SUMPRODUCT(($D$43:$D$83="T2")*($L$43:$L$83)*($E35&gt;=$O$43:$O$83))-SUMPRODUCT(($D$43:$D$83="T2")*($M$43:$M$83)*($E35=$P$43:$P$83))</f>
        <v/>
      </c>
      <c r="K35" s="154">
        <f>SUMPRODUCT(($D$43:$D$83="T3")*($L$43:$L$83)*($E35&gt;=$O$43:$O$83))-SUMPRODUCT(($D$43:$D$83="T3")*($M$43:$M$83)*($E35=$P$43:$P$83))</f>
        <v/>
      </c>
      <c r="L35" s="154" t="n">
        <v>0</v>
      </c>
      <c r="M35" s="117">
        <f>H35+I35+J35+K35+L35</f>
        <v/>
      </c>
      <c r="N35" s="117">
        <f>F35+M35</f>
        <v/>
      </c>
      <c r="O35" s="117">
        <f>O34+N35</f>
        <v/>
      </c>
      <c r="P35" s="54">
        <f>IF(O35&lt;500000,"⚠ Crisis (&lt;$500K)",IF(O35&lt;1000000,"Caution","OK"))</f>
        <v/>
      </c>
    </row>
    <row r="36" ht="20" customHeight="1" s="121">
      <c r="B36" s="98" t="inlineStr">
        <is>
          <t>W51</t>
        </is>
      </c>
      <c r="C36" s="150" t="n">
        <v>46376</v>
      </c>
      <c r="D36" s="62" t="inlineStr">
        <is>
          <t>Dec</t>
        </is>
      </c>
      <c r="E36" s="151" t="n">
        <v>32</v>
      </c>
      <c r="F36" s="152" t="n">
        <v>-442045</v>
      </c>
      <c r="G36" s="153" t="n">
        <v>2817208</v>
      </c>
      <c r="H36" s="154">
        <f>'03_Cost_Levers'!$G$16</f>
        <v/>
      </c>
      <c r="I36" s="154">
        <f>SUMPRODUCT(($D$43:$D$83="T1")*($L$43:$L$83)*($E36&gt;=$O$43:$O$83))-SUMPRODUCT(($D$43:$D$83="T1")*($M$43:$M$83)*($E36=$P$43:$P$83))</f>
        <v/>
      </c>
      <c r="J36" s="154">
        <f>SUMPRODUCT(($D$43:$D$83="T2")*($L$43:$L$83)*($E36&gt;=$O$43:$O$83))-SUMPRODUCT(($D$43:$D$83="T2")*($M$43:$M$83)*($E36=$P$43:$P$83))</f>
        <v/>
      </c>
      <c r="K36" s="154">
        <f>SUMPRODUCT(($D$43:$D$83="T3")*($L$43:$L$83)*($E36&gt;=$O$43:$O$83))-SUMPRODUCT(($D$43:$D$83="T3")*($M$43:$M$83)*($E36=$P$43:$P$83))</f>
        <v/>
      </c>
      <c r="L36" s="154" t="n">
        <v>0</v>
      </c>
      <c r="M36" s="117">
        <f>H36+I36+J36+K36+L36</f>
        <v/>
      </c>
      <c r="N36" s="117">
        <f>F36+M36</f>
        <v/>
      </c>
      <c r="O36" s="117">
        <f>O35+N36</f>
        <v/>
      </c>
      <c r="P36" s="54">
        <f>IF(O36&lt;500000,"⚠ Crisis (&lt;$500K)",IF(O36&lt;1000000,"Caution","OK"))</f>
        <v/>
      </c>
    </row>
    <row r="37" ht="20" customHeight="1" s="121">
      <c r="B37" s="98" t="inlineStr">
        <is>
          <t>W52</t>
        </is>
      </c>
      <c r="C37" s="150" t="n">
        <v>46383</v>
      </c>
      <c r="D37" s="62" t="inlineStr">
        <is>
          <t>Dec</t>
        </is>
      </c>
      <c r="E37" s="151" t="n">
        <v>33</v>
      </c>
      <c r="F37" s="152" t="n">
        <v>66653</v>
      </c>
      <c r="G37" s="153" t="n">
        <v>2883861</v>
      </c>
      <c r="H37" s="154">
        <f>'03_Cost_Levers'!$G$16</f>
        <v/>
      </c>
      <c r="I37" s="154">
        <f>SUMPRODUCT(($D$43:$D$83="T1")*($L$43:$L$83)*($E37&gt;=$O$43:$O$83))-SUMPRODUCT(($D$43:$D$83="T1")*($M$43:$M$83)*($E37=$P$43:$P$83))</f>
        <v/>
      </c>
      <c r="J37" s="154">
        <f>SUMPRODUCT(($D$43:$D$83="T2")*($L$43:$L$83)*($E37&gt;=$O$43:$O$83))-SUMPRODUCT(($D$43:$D$83="T2")*($M$43:$M$83)*($E37=$P$43:$P$83))</f>
        <v/>
      </c>
      <c r="K37" s="154">
        <f>SUMPRODUCT(($D$43:$D$83="T3")*($L$43:$L$83)*($E37&gt;=$O$43:$O$83))-SUMPRODUCT(($D$43:$D$83="T3")*($M$43:$M$83)*($E37=$P$43:$P$83))</f>
        <v/>
      </c>
      <c r="L37" s="154" t="n">
        <v>0</v>
      </c>
      <c r="M37" s="117">
        <f>H37+I37+J37+K37+L37</f>
        <v/>
      </c>
      <c r="N37" s="117">
        <f>F37+M37</f>
        <v/>
      </c>
      <c r="O37" s="117">
        <f>O36+N37</f>
        <v/>
      </c>
      <c r="P37" s="54">
        <f>IF(O37&lt;500000,"⚠ Crisis (&lt;$500K)",IF(O37&lt;1000000,"Caution","OK"))</f>
        <v/>
      </c>
    </row>
    <row r="38" ht="20" customHeight="1" s="121">
      <c r="B38" s="98" t="inlineStr">
        <is>
          <t>W53</t>
        </is>
      </c>
      <c r="C38" s="150" t="n">
        <v>46390</v>
      </c>
      <c r="D38" s="62" t="inlineStr">
        <is>
          <t>Jan</t>
        </is>
      </c>
      <c r="E38" s="151" t="n">
        <v>34</v>
      </c>
      <c r="F38" s="152" t="n">
        <v>1675</v>
      </c>
      <c r="G38" s="153" t="n">
        <v>2885536</v>
      </c>
      <c r="H38" s="154">
        <f>'03_Cost_Levers'!$G$16</f>
        <v/>
      </c>
      <c r="I38" s="154">
        <f>SUMPRODUCT(($D$43:$D$83="T1")*($L$43:$L$83)*($E38&gt;=$O$43:$O$83))-SUMPRODUCT(($D$43:$D$83="T1")*($M$43:$M$83)*($E38=$P$43:$P$83))</f>
        <v/>
      </c>
      <c r="J38" s="154">
        <f>SUMPRODUCT(($D$43:$D$83="T2")*($L$43:$L$83)*($E38&gt;=$O$43:$O$83))-SUMPRODUCT(($D$43:$D$83="T2")*($M$43:$M$83)*($E38=$P$43:$P$83))</f>
        <v/>
      </c>
      <c r="K38" s="154">
        <f>SUMPRODUCT(($D$43:$D$83="T3")*($L$43:$L$83)*($E38&gt;=$O$43:$O$83))-SUMPRODUCT(($D$43:$D$83="T3")*($M$43:$M$83)*($E38=$P$43:$P$83))</f>
        <v/>
      </c>
      <c r="L38" s="154">
        <f>'04_Bookings_Inputs'!$D$8*0.15</f>
        <v/>
      </c>
      <c r="M38" s="117">
        <f>H38+I38+J38+K38+L38</f>
        <v/>
      </c>
      <c r="N38" s="117">
        <f>F38+M38</f>
        <v/>
      </c>
      <c r="O38" s="117">
        <f>O37+N38</f>
        <v/>
      </c>
      <c r="P38" s="54">
        <f>IF(O38&lt;500000,"⚠ Crisis (&lt;$500K)",IF(O38&lt;1000000,"Caution","OK"))</f>
        <v/>
      </c>
    </row>
    <row r="39" ht="12" customHeight="1" s="121"/>
    <row r="40" ht="22" customHeight="1" s="121">
      <c r="B40" s="137" t="inlineStr">
        <is>
          <t>HELPER TABLE — PER-EMPLOYEE DERIVED VALUES (formulas pull live from 02_Severance_Inputs)</t>
        </is>
      </c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  <c r="O40" s="159" t="n"/>
      <c r="P40" s="159" t="n"/>
    </row>
    <row r="41" ht="16" customHeight="1" s="121">
      <c r="B41" s="160" t="inlineStr">
        <is>
          <t>These rows compute per-person savings start week, lump severance week, and dollar amounts — used by the SUMPRODUCT formulas in the forecast above.</t>
        </is>
      </c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  <c r="O41" s="159" t="n"/>
      <c r="P41" s="159" t="n"/>
    </row>
    <row r="42" ht="32" customHeight="1" s="121">
      <c r="B42" s="149" t="inlineStr">
        <is>
          <t>#</t>
        </is>
      </c>
      <c r="C42" s="149" t="inlineStr">
        <is>
          <t>Employee</t>
        </is>
      </c>
      <c r="D42" s="149" t="inlineStr">
        <is>
          <t>Tranche</t>
        </is>
      </c>
      <c r="E42" s="149" t="inlineStr">
        <is>
          <t>Mode</t>
        </is>
      </c>
      <c r="F42" s="149" t="inlineStr">
        <is>
          <t>Loc</t>
        </is>
      </c>
      <c r="G42" s="149" t="inlineStr">
        <is>
          <t>Base</t>
        </is>
      </c>
      <c r="H42" s="149" t="inlineStr">
        <is>
          <t>FL</t>
        </is>
      </c>
      <c r="I42" s="149" t="inlineStr">
        <is>
          <t>Sev Weeks</t>
        </is>
      </c>
      <c r="J42" s="149" t="inlineStr">
        <is>
          <t>Term Date</t>
        </is>
      </c>
      <c r="K42" s="149" t="inlineStr">
        <is>
          <t>Term Wk Idx</t>
        </is>
      </c>
      <c r="L42" s="149" t="inlineStr">
        <is>
          <t>Wkly Saving</t>
        </is>
      </c>
      <c r="M42" s="149" t="inlineStr">
        <is>
          <t>Severance $</t>
        </is>
      </c>
      <c r="N42" s="149" t="inlineStr">
        <is>
          <t>Spread End Wk</t>
        </is>
      </c>
      <c r="O42" s="149" t="inlineStr">
        <is>
          <t>Savings Start Wk</t>
        </is>
      </c>
      <c r="P42" s="149" t="inlineStr">
        <is>
          <t>Lump Sev Wk</t>
        </is>
      </c>
    </row>
    <row r="43" ht="16" customHeight="1" s="121">
      <c r="B43" s="161" t="n">
        <v>1</v>
      </c>
      <c r="C43" s="162">
        <f>'02_Severance_Inputs'!C5</f>
        <v/>
      </c>
      <c r="D43" s="163">
        <f>'02_Severance_Inputs'!I5</f>
        <v/>
      </c>
      <c r="E43" s="163">
        <f>'02_Severance_Inputs'!K5</f>
        <v/>
      </c>
      <c r="F43" s="163">
        <f>'02_Severance_Inputs'!E5</f>
        <v/>
      </c>
      <c r="G43" s="164">
        <f>'02_Severance_Inputs'!F5</f>
        <v/>
      </c>
      <c r="H43" s="164">
        <f>'02_Severance_Inputs'!G5</f>
        <v/>
      </c>
      <c r="I43" s="161">
        <f>'02_Severance_Inputs'!J5</f>
        <v/>
      </c>
      <c r="J43" s="165">
        <f>IFERROR('02_Severance_Inputs'!L5,0)</f>
        <v/>
      </c>
      <c r="K43" s="161">
        <f>IFERROR(IF(ISNUMBER(J43),CEILING((J43-DATE(2026,5,10))/7,1),999),999)</f>
        <v/>
      </c>
      <c r="L43" s="164">
        <f>IF(OR(D43="None",D43="None (protected)"),0,H43/52)</f>
        <v/>
      </c>
      <c r="M43" s="164">
        <f>IF(OR(D43="None",D43="None (protected)",I43=0),0,G43*I43/52)</f>
        <v/>
      </c>
      <c r="N43" s="161">
        <f>IF(I43=0,999,K43+ROUNDUP(I43/5,0))</f>
        <v/>
      </c>
      <c r="O43" s="161">
        <f>IF(OR(D43="None",D43="None (protected)"),999,IF(E43="Spread",K43+ROUNDUP(I43/5,0)+1,IF(E43="Lump",K43+1,IF(E43="Czech-Notice",K43+23,999))))</f>
        <v/>
      </c>
      <c r="P43" s="161">
        <f>IF(OR(D43="None",D43="None (protected)"),999,IF(E43="Spread",0,IF(E43="Lump",K43,IF(E43="Czech-Notice",K43+22,999))))</f>
        <v/>
      </c>
    </row>
    <row r="44" ht="16" customHeight="1" s="121">
      <c r="B44" s="161" t="n">
        <v>2</v>
      </c>
      <c r="C44" s="162">
        <f>'02_Severance_Inputs'!C6</f>
        <v/>
      </c>
      <c r="D44" s="163">
        <f>'02_Severance_Inputs'!I6</f>
        <v/>
      </c>
      <c r="E44" s="163">
        <f>'02_Severance_Inputs'!K6</f>
        <v/>
      </c>
      <c r="F44" s="163">
        <f>'02_Severance_Inputs'!E6</f>
        <v/>
      </c>
      <c r="G44" s="164">
        <f>'02_Severance_Inputs'!F6</f>
        <v/>
      </c>
      <c r="H44" s="164">
        <f>'02_Severance_Inputs'!G6</f>
        <v/>
      </c>
      <c r="I44" s="161">
        <f>'02_Severance_Inputs'!J6</f>
        <v/>
      </c>
      <c r="J44" s="165">
        <f>IFERROR('02_Severance_Inputs'!L6,0)</f>
        <v/>
      </c>
      <c r="K44" s="161">
        <f>IFERROR(IF(ISNUMBER(J44),CEILING((J44-DATE(2026,5,10))/7,1),999),999)</f>
        <v/>
      </c>
      <c r="L44" s="164">
        <f>IF(OR(D44="None",D44="None (protected)"),0,H44/52)</f>
        <v/>
      </c>
      <c r="M44" s="164">
        <f>IF(OR(D44="None",D44="None (protected)",I44=0),0,G44*I44/52)</f>
        <v/>
      </c>
      <c r="N44" s="161">
        <f>IF(I44=0,999,K44+ROUNDUP(I44/5,0))</f>
        <v/>
      </c>
      <c r="O44" s="161">
        <f>IF(OR(D44="None",D44="None (protected)"),999,IF(E44="Spread",K44+ROUNDUP(I44/5,0)+1,IF(E44="Lump",K44+1,IF(E44="Czech-Notice",K44+23,999))))</f>
        <v/>
      </c>
      <c r="P44" s="161">
        <f>IF(OR(D44="None",D44="None (protected)"),999,IF(E44="Spread",0,IF(E44="Lump",K44,IF(E44="Czech-Notice",K44+22,999))))</f>
        <v/>
      </c>
    </row>
    <row r="45" ht="16" customHeight="1" s="121">
      <c r="B45" s="161" t="n">
        <v>3</v>
      </c>
      <c r="C45" s="162">
        <f>'02_Severance_Inputs'!C7</f>
        <v/>
      </c>
      <c r="D45" s="163">
        <f>'02_Severance_Inputs'!I7</f>
        <v/>
      </c>
      <c r="E45" s="163">
        <f>'02_Severance_Inputs'!K7</f>
        <v/>
      </c>
      <c r="F45" s="163">
        <f>'02_Severance_Inputs'!E7</f>
        <v/>
      </c>
      <c r="G45" s="164">
        <f>'02_Severance_Inputs'!F7</f>
        <v/>
      </c>
      <c r="H45" s="164">
        <f>'02_Severance_Inputs'!G7</f>
        <v/>
      </c>
      <c r="I45" s="161">
        <f>'02_Severance_Inputs'!J7</f>
        <v/>
      </c>
      <c r="J45" s="165">
        <f>IFERROR('02_Severance_Inputs'!L7,0)</f>
        <v/>
      </c>
      <c r="K45" s="161">
        <f>IFERROR(IF(ISNUMBER(J45),CEILING((J45-DATE(2026,5,10))/7,1),999),999)</f>
        <v/>
      </c>
      <c r="L45" s="164">
        <f>IF(OR(D45="None",D45="None (protected)"),0,H45/52)</f>
        <v/>
      </c>
      <c r="M45" s="164">
        <f>IF(OR(D45="None",D45="None (protected)",I45=0),0,G45*I45/52)</f>
        <v/>
      </c>
      <c r="N45" s="161">
        <f>IF(I45=0,999,K45+ROUNDUP(I45/5,0))</f>
        <v/>
      </c>
      <c r="O45" s="161">
        <f>IF(OR(D45="None",D45="None (protected)"),999,IF(E45="Spread",K45+ROUNDUP(I45/5,0)+1,IF(E45="Lump",K45+1,IF(E45="Czech-Notice",K45+23,999))))</f>
        <v/>
      </c>
      <c r="P45" s="161">
        <f>IF(OR(D45="None",D45="None (protected)"),999,IF(E45="Spread",0,IF(E45="Lump",K45,IF(E45="Czech-Notice",K45+22,999))))</f>
        <v/>
      </c>
    </row>
    <row r="46" ht="16" customHeight="1" s="121">
      <c r="B46" s="161" t="n">
        <v>4</v>
      </c>
      <c r="C46" s="162">
        <f>'02_Severance_Inputs'!C8</f>
        <v/>
      </c>
      <c r="D46" s="163">
        <f>'02_Severance_Inputs'!I8</f>
        <v/>
      </c>
      <c r="E46" s="163">
        <f>'02_Severance_Inputs'!K8</f>
        <v/>
      </c>
      <c r="F46" s="163">
        <f>'02_Severance_Inputs'!E8</f>
        <v/>
      </c>
      <c r="G46" s="164">
        <f>'02_Severance_Inputs'!F8</f>
        <v/>
      </c>
      <c r="H46" s="164">
        <f>'02_Severance_Inputs'!G8</f>
        <v/>
      </c>
      <c r="I46" s="161">
        <f>'02_Severance_Inputs'!J8</f>
        <v/>
      </c>
      <c r="J46" s="165">
        <f>IFERROR('02_Severance_Inputs'!L8,0)</f>
        <v/>
      </c>
      <c r="K46" s="161">
        <f>IFERROR(IF(ISNUMBER(J46),CEILING((J46-DATE(2026,5,10))/7,1),999),999)</f>
        <v/>
      </c>
      <c r="L46" s="164">
        <f>IF(OR(D46="None",D46="None (protected)"),0,H46/52)</f>
        <v/>
      </c>
      <c r="M46" s="164">
        <f>IF(OR(D46="None",D46="None (protected)",I46=0),0,G46*I46/52)</f>
        <v/>
      </c>
      <c r="N46" s="161">
        <f>IF(I46=0,999,K46+ROUNDUP(I46/5,0))</f>
        <v/>
      </c>
      <c r="O46" s="161">
        <f>IF(OR(D46="None",D46="None (protected)"),999,IF(E46="Spread",K46+ROUNDUP(I46/5,0)+1,IF(E46="Lump",K46+1,IF(E46="Czech-Notice",K46+23,999))))</f>
        <v/>
      </c>
      <c r="P46" s="161">
        <f>IF(OR(D46="None",D46="None (protected)"),999,IF(E46="Spread",0,IF(E46="Lump",K46,IF(E46="Czech-Notice",K46+22,999))))</f>
        <v/>
      </c>
    </row>
    <row r="47" ht="16" customHeight="1" s="121">
      <c r="B47" s="161" t="n">
        <v>5</v>
      </c>
      <c r="C47" s="162">
        <f>'02_Severance_Inputs'!C9</f>
        <v/>
      </c>
      <c r="D47" s="163">
        <f>'02_Severance_Inputs'!I9</f>
        <v/>
      </c>
      <c r="E47" s="163">
        <f>'02_Severance_Inputs'!K9</f>
        <v/>
      </c>
      <c r="F47" s="163">
        <f>'02_Severance_Inputs'!E9</f>
        <v/>
      </c>
      <c r="G47" s="164">
        <f>'02_Severance_Inputs'!F9</f>
        <v/>
      </c>
      <c r="H47" s="164">
        <f>'02_Severance_Inputs'!G9</f>
        <v/>
      </c>
      <c r="I47" s="161">
        <f>'02_Severance_Inputs'!J9</f>
        <v/>
      </c>
      <c r="J47" s="165">
        <f>IFERROR('02_Severance_Inputs'!L9,0)</f>
        <v/>
      </c>
      <c r="K47" s="161">
        <f>IFERROR(IF(ISNUMBER(J47),CEILING((J47-DATE(2026,5,10))/7,1),999),999)</f>
        <v/>
      </c>
      <c r="L47" s="164">
        <f>IF(OR(D47="None",D47="None (protected)"),0,H47/52)</f>
        <v/>
      </c>
      <c r="M47" s="164">
        <f>IF(OR(D47="None",D47="None (protected)",I47=0),0,G47*I47/52)</f>
        <v/>
      </c>
      <c r="N47" s="161">
        <f>IF(I47=0,999,K47+ROUNDUP(I47/5,0))</f>
        <v/>
      </c>
      <c r="O47" s="161">
        <f>IF(OR(D47="None",D47="None (protected)"),999,IF(E47="Spread",K47+ROUNDUP(I47/5,0)+1,IF(E47="Lump",K47+1,IF(E47="Czech-Notice",K47+23,999))))</f>
        <v/>
      </c>
      <c r="P47" s="161">
        <f>IF(OR(D47="None",D47="None (protected)"),999,IF(E47="Spread",0,IF(E47="Lump",K47,IF(E47="Czech-Notice",K47+22,999))))</f>
        <v/>
      </c>
    </row>
    <row r="48" ht="16" customHeight="1" s="121">
      <c r="B48" s="161" t="n">
        <v>6</v>
      </c>
      <c r="C48" s="162">
        <f>'02_Severance_Inputs'!C10</f>
        <v/>
      </c>
      <c r="D48" s="163">
        <f>'02_Severance_Inputs'!I10</f>
        <v/>
      </c>
      <c r="E48" s="163">
        <f>'02_Severance_Inputs'!K10</f>
        <v/>
      </c>
      <c r="F48" s="163">
        <f>'02_Severance_Inputs'!E10</f>
        <v/>
      </c>
      <c r="G48" s="164">
        <f>'02_Severance_Inputs'!F10</f>
        <v/>
      </c>
      <c r="H48" s="164">
        <f>'02_Severance_Inputs'!G10</f>
        <v/>
      </c>
      <c r="I48" s="161">
        <f>'02_Severance_Inputs'!J10</f>
        <v/>
      </c>
      <c r="J48" s="165">
        <f>IFERROR('02_Severance_Inputs'!L10,0)</f>
        <v/>
      </c>
      <c r="K48" s="161">
        <f>IFERROR(IF(ISNUMBER(J48),CEILING((J48-DATE(2026,5,10))/7,1),999),999)</f>
        <v/>
      </c>
      <c r="L48" s="164">
        <f>IF(OR(D48="None",D48="None (protected)"),0,H48/52)</f>
        <v/>
      </c>
      <c r="M48" s="164">
        <f>IF(OR(D48="None",D48="None (protected)",I48=0),0,G48*I48/52)</f>
        <v/>
      </c>
      <c r="N48" s="161">
        <f>IF(I48=0,999,K48+ROUNDUP(I48/5,0))</f>
        <v/>
      </c>
      <c r="O48" s="161">
        <f>IF(OR(D48="None",D48="None (protected)"),999,IF(E48="Spread",K48+ROUNDUP(I48/5,0)+1,IF(E48="Lump",K48+1,IF(E48="Czech-Notice",K48+23,999))))</f>
        <v/>
      </c>
      <c r="P48" s="161">
        <f>IF(OR(D48="None",D48="None (protected)"),999,IF(E48="Spread",0,IF(E48="Lump",K48,IF(E48="Czech-Notice",K48+22,999))))</f>
        <v/>
      </c>
    </row>
    <row r="49" ht="16" customHeight="1" s="121">
      <c r="B49" s="161" t="n">
        <v>7</v>
      </c>
      <c r="C49" s="162">
        <f>'02_Severance_Inputs'!C11</f>
        <v/>
      </c>
      <c r="D49" s="163">
        <f>'02_Severance_Inputs'!I11</f>
        <v/>
      </c>
      <c r="E49" s="163">
        <f>'02_Severance_Inputs'!K11</f>
        <v/>
      </c>
      <c r="F49" s="163">
        <f>'02_Severance_Inputs'!E11</f>
        <v/>
      </c>
      <c r="G49" s="164">
        <f>'02_Severance_Inputs'!F11</f>
        <v/>
      </c>
      <c r="H49" s="164">
        <f>'02_Severance_Inputs'!G11</f>
        <v/>
      </c>
      <c r="I49" s="161">
        <f>'02_Severance_Inputs'!J11</f>
        <v/>
      </c>
      <c r="J49" s="165">
        <f>IFERROR('02_Severance_Inputs'!L11,0)</f>
        <v/>
      </c>
      <c r="K49" s="161">
        <f>IFERROR(IF(ISNUMBER(J49),CEILING((J49-DATE(2026,5,10))/7,1),999),999)</f>
        <v/>
      </c>
      <c r="L49" s="164">
        <f>IF(OR(D49="None",D49="None (protected)"),0,H49/52)</f>
        <v/>
      </c>
      <c r="M49" s="164">
        <f>IF(OR(D49="None",D49="None (protected)",I49=0),0,G49*I49/52)</f>
        <v/>
      </c>
      <c r="N49" s="161">
        <f>IF(I49=0,999,K49+ROUNDUP(I49/5,0))</f>
        <v/>
      </c>
      <c r="O49" s="161">
        <f>IF(OR(D49="None",D49="None (protected)"),999,IF(E49="Spread",K49+ROUNDUP(I49/5,0)+1,IF(E49="Lump",K49+1,IF(E49="Czech-Notice",K49+23,999))))</f>
        <v/>
      </c>
      <c r="P49" s="161">
        <f>IF(OR(D49="None",D49="None (protected)"),999,IF(E49="Spread",0,IF(E49="Lump",K49,IF(E49="Czech-Notice",K49+22,999))))</f>
        <v/>
      </c>
    </row>
    <row r="50" ht="16" customHeight="1" s="121">
      <c r="B50" s="161" t="n">
        <v>8</v>
      </c>
      <c r="C50" s="162">
        <f>'02_Severance_Inputs'!C12</f>
        <v/>
      </c>
      <c r="D50" s="163">
        <f>'02_Severance_Inputs'!I12</f>
        <v/>
      </c>
      <c r="E50" s="163">
        <f>'02_Severance_Inputs'!K12</f>
        <v/>
      </c>
      <c r="F50" s="163">
        <f>'02_Severance_Inputs'!E12</f>
        <v/>
      </c>
      <c r="G50" s="164">
        <f>'02_Severance_Inputs'!F12</f>
        <v/>
      </c>
      <c r="H50" s="164">
        <f>'02_Severance_Inputs'!G12</f>
        <v/>
      </c>
      <c r="I50" s="161">
        <f>'02_Severance_Inputs'!J12</f>
        <v/>
      </c>
      <c r="J50" s="165">
        <f>IFERROR('02_Severance_Inputs'!L12,0)</f>
        <v/>
      </c>
      <c r="K50" s="161">
        <f>IFERROR(IF(ISNUMBER(J50),CEILING((J50-DATE(2026,5,10))/7,1),999),999)</f>
        <v/>
      </c>
      <c r="L50" s="164">
        <f>IF(OR(D50="None",D50="None (protected)"),0,H50/52)</f>
        <v/>
      </c>
      <c r="M50" s="164">
        <f>IF(OR(D50="None",D50="None (protected)",I50=0),0,G50*I50/52)</f>
        <v/>
      </c>
      <c r="N50" s="161">
        <f>IF(I50=0,999,K50+ROUNDUP(I50/5,0))</f>
        <v/>
      </c>
      <c r="O50" s="161">
        <f>IF(OR(D50="None",D50="None (protected)"),999,IF(E50="Spread",K50+ROUNDUP(I50/5,0)+1,IF(E50="Lump",K50+1,IF(E50="Czech-Notice",K50+23,999))))</f>
        <v/>
      </c>
      <c r="P50" s="161">
        <f>IF(OR(D50="None",D50="None (protected)"),999,IF(E50="Spread",0,IF(E50="Lump",K50,IF(E50="Czech-Notice",K50+22,999))))</f>
        <v/>
      </c>
    </row>
    <row r="51" ht="16" customHeight="1" s="121">
      <c r="B51" s="161" t="n">
        <v>9</v>
      </c>
      <c r="C51" s="162">
        <f>'02_Severance_Inputs'!C13</f>
        <v/>
      </c>
      <c r="D51" s="163">
        <f>'02_Severance_Inputs'!I13</f>
        <v/>
      </c>
      <c r="E51" s="163">
        <f>'02_Severance_Inputs'!K13</f>
        <v/>
      </c>
      <c r="F51" s="163">
        <f>'02_Severance_Inputs'!E13</f>
        <v/>
      </c>
      <c r="G51" s="164">
        <f>'02_Severance_Inputs'!F13</f>
        <v/>
      </c>
      <c r="H51" s="164">
        <f>'02_Severance_Inputs'!G13</f>
        <v/>
      </c>
      <c r="I51" s="161">
        <f>'02_Severance_Inputs'!J13</f>
        <v/>
      </c>
      <c r="J51" s="165">
        <f>IFERROR('02_Severance_Inputs'!L13,0)</f>
        <v/>
      </c>
      <c r="K51" s="161">
        <f>IFERROR(IF(ISNUMBER(J51),CEILING((J51-DATE(2026,5,10))/7,1),999),999)</f>
        <v/>
      </c>
      <c r="L51" s="164">
        <f>IF(OR(D51="None",D51="None (protected)"),0,H51/52)</f>
        <v/>
      </c>
      <c r="M51" s="164">
        <f>IF(OR(D51="None",D51="None (protected)",I51=0),0,G51*I51/52)</f>
        <v/>
      </c>
      <c r="N51" s="161">
        <f>IF(I51=0,999,K51+ROUNDUP(I51/5,0))</f>
        <v/>
      </c>
      <c r="O51" s="161">
        <f>IF(OR(D51="None",D51="None (protected)"),999,IF(E51="Spread",K51+ROUNDUP(I51/5,0)+1,IF(E51="Lump",K51+1,IF(E51="Czech-Notice",K51+23,999))))</f>
        <v/>
      </c>
      <c r="P51" s="161">
        <f>IF(OR(D51="None",D51="None (protected)"),999,IF(E51="Spread",0,IF(E51="Lump",K51,IF(E51="Czech-Notice",K51+22,999))))</f>
        <v/>
      </c>
    </row>
    <row r="52" ht="16" customHeight="1" s="121">
      <c r="B52" s="161" t="n">
        <v>10</v>
      </c>
      <c r="C52" s="162">
        <f>'02_Severance_Inputs'!C14</f>
        <v/>
      </c>
      <c r="D52" s="163">
        <f>'02_Severance_Inputs'!I14</f>
        <v/>
      </c>
      <c r="E52" s="163">
        <f>'02_Severance_Inputs'!K14</f>
        <v/>
      </c>
      <c r="F52" s="163">
        <f>'02_Severance_Inputs'!E14</f>
        <v/>
      </c>
      <c r="G52" s="164">
        <f>'02_Severance_Inputs'!F14</f>
        <v/>
      </c>
      <c r="H52" s="164">
        <f>'02_Severance_Inputs'!G14</f>
        <v/>
      </c>
      <c r="I52" s="161">
        <f>'02_Severance_Inputs'!J14</f>
        <v/>
      </c>
      <c r="J52" s="165">
        <f>IFERROR('02_Severance_Inputs'!L14,0)</f>
        <v/>
      </c>
      <c r="K52" s="161">
        <f>IFERROR(IF(ISNUMBER(J52),CEILING((J52-DATE(2026,5,10))/7,1),999),999)</f>
        <v/>
      </c>
      <c r="L52" s="164">
        <f>IF(OR(D52="None",D52="None (protected)"),0,H52/52)</f>
        <v/>
      </c>
      <c r="M52" s="164">
        <f>IF(OR(D52="None",D52="None (protected)",I52=0),0,G52*I52/52)</f>
        <v/>
      </c>
      <c r="N52" s="161">
        <f>IF(I52=0,999,K52+ROUNDUP(I52/5,0))</f>
        <v/>
      </c>
      <c r="O52" s="161">
        <f>IF(OR(D52="None",D52="None (protected)"),999,IF(E52="Spread",K52+ROUNDUP(I52/5,0)+1,IF(E52="Lump",K52+1,IF(E52="Czech-Notice",K52+23,999))))</f>
        <v/>
      </c>
      <c r="P52" s="161">
        <f>IF(OR(D52="None",D52="None (protected)"),999,IF(E52="Spread",0,IF(E52="Lump",K52,IF(E52="Czech-Notice",K52+22,999))))</f>
        <v/>
      </c>
    </row>
    <row r="53" ht="16" customHeight="1" s="121">
      <c r="B53" s="161" t="n">
        <v>11</v>
      </c>
      <c r="C53" s="162">
        <f>'02_Severance_Inputs'!C15</f>
        <v/>
      </c>
      <c r="D53" s="163">
        <f>'02_Severance_Inputs'!I15</f>
        <v/>
      </c>
      <c r="E53" s="163">
        <f>'02_Severance_Inputs'!K15</f>
        <v/>
      </c>
      <c r="F53" s="163">
        <f>'02_Severance_Inputs'!E15</f>
        <v/>
      </c>
      <c r="G53" s="164">
        <f>'02_Severance_Inputs'!F15</f>
        <v/>
      </c>
      <c r="H53" s="164">
        <f>'02_Severance_Inputs'!G15</f>
        <v/>
      </c>
      <c r="I53" s="161">
        <f>'02_Severance_Inputs'!J15</f>
        <v/>
      </c>
      <c r="J53" s="165">
        <f>IFERROR('02_Severance_Inputs'!L15,0)</f>
        <v/>
      </c>
      <c r="K53" s="161">
        <f>IFERROR(IF(ISNUMBER(J53),CEILING((J53-DATE(2026,5,10))/7,1),999),999)</f>
        <v/>
      </c>
      <c r="L53" s="164">
        <f>IF(OR(D53="None",D53="None (protected)"),0,H53/52)</f>
        <v/>
      </c>
      <c r="M53" s="164">
        <f>IF(OR(D53="None",D53="None (protected)",I53=0),0,G53*I53/52)</f>
        <v/>
      </c>
      <c r="N53" s="161">
        <f>IF(I53=0,999,K53+ROUNDUP(I53/5,0))</f>
        <v/>
      </c>
      <c r="O53" s="161">
        <f>IF(OR(D53="None",D53="None (protected)"),999,IF(E53="Spread",K53+ROUNDUP(I53/5,0)+1,IF(E53="Lump",K53+1,IF(E53="Czech-Notice",K53+23,999))))</f>
        <v/>
      </c>
      <c r="P53" s="161">
        <f>IF(OR(D53="None",D53="None (protected)"),999,IF(E53="Spread",0,IF(E53="Lump",K53,IF(E53="Czech-Notice",K53+22,999))))</f>
        <v/>
      </c>
    </row>
    <row r="54" ht="16" customHeight="1" s="121">
      <c r="B54" s="161" t="n">
        <v>12</v>
      </c>
      <c r="C54" s="162">
        <f>'02_Severance_Inputs'!C16</f>
        <v/>
      </c>
      <c r="D54" s="163">
        <f>'02_Severance_Inputs'!I16</f>
        <v/>
      </c>
      <c r="E54" s="163">
        <f>'02_Severance_Inputs'!K16</f>
        <v/>
      </c>
      <c r="F54" s="163">
        <f>'02_Severance_Inputs'!E16</f>
        <v/>
      </c>
      <c r="G54" s="164">
        <f>'02_Severance_Inputs'!F16</f>
        <v/>
      </c>
      <c r="H54" s="164">
        <f>'02_Severance_Inputs'!G16</f>
        <v/>
      </c>
      <c r="I54" s="161">
        <f>'02_Severance_Inputs'!J16</f>
        <v/>
      </c>
      <c r="J54" s="165">
        <f>IFERROR('02_Severance_Inputs'!L16,0)</f>
        <v/>
      </c>
      <c r="K54" s="161">
        <f>IFERROR(IF(ISNUMBER(J54),CEILING((J54-DATE(2026,5,10))/7,1),999),999)</f>
        <v/>
      </c>
      <c r="L54" s="164">
        <f>IF(OR(D54="None",D54="None (protected)"),0,H54/52)</f>
        <v/>
      </c>
      <c r="M54" s="164">
        <f>IF(OR(D54="None",D54="None (protected)",I54=0),0,G54*I54/52)</f>
        <v/>
      </c>
      <c r="N54" s="161">
        <f>IF(I54=0,999,K54+ROUNDUP(I54/5,0))</f>
        <v/>
      </c>
      <c r="O54" s="161">
        <f>IF(OR(D54="None",D54="None (protected)"),999,IF(E54="Spread",K54+ROUNDUP(I54/5,0)+1,IF(E54="Lump",K54+1,IF(E54="Czech-Notice",K54+23,999))))</f>
        <v/>
      </c>
      <c r="P54" s="161">
        <f>IF(OR(D54="None",D54="None (protected)"),999,IF(E54="Spread",0,IF(E54="Lump",K54,IF(E54="Czech-Notice",K54+22,999))))</f>
        <v/>
      </c>
    </row>
    <row r="55" ht="16" customHeight="1" s="121">
      <c r="B55" s="161" t="n">
        <v>13</v>
      </c>
      <c r="C55" s="162">
        <f>'02_Severance_Inputs'!C17</f>
        <v/>
      </c>
      <c r="D55" s="163">
        <f>'02_Severance_Inputs'!I17</f>
        <v/>
      </c>
      <c r="E55" s="163">
        <f>'02_Severance_Inputs'!K17</f>
        <v/>
      </c>
      <c r="F55" s="163">
        <f>'02_Severance_Inputs'!E17</f>
        <v/>
      </c>
      <c r="G55" s="164">
        <f>'02_Severance_Inputs'!F17</f>
        <v/>
      </c>
      <c r="H55" s="164">
        <f>'02_Severance_Inputs'!G17</f>
        <v/>
      </c>
      <c r="I55" s="161">
        <f>'02_Severance_Inputs'!J17</f>
        <v/>
      </c>
      <c r="J55" s="165">
        <f>IFERROR('02_Severance_Inputs'!L17,0)</f>
        <v/>
      </c>
      <c r="K55" s="161">
        <f>IFERROR(IF(ISNUMBER(J55),CEILING((J55-DATE(2026,5,10))/7,1),999),999)</f>
        <v/>
      </c>
      <c r="L55" s="164">
        <f>IF(OR(D55="None",D55="None (protected)"),0,H55/52)</f>
        <v/>
      </c>
      <c r="M55" s="164">
        <f>IF(OR(D55="None",D55="None (protected)",I55=0),0,G55*I55/52)</f>
        <v/>
      </c>
      <c r="N55" s="161">
        <f>IF(I55=0,999,K55+ROUNDUP(I55/5,0))</f>
        <v/>
      </c>
      <c r="O55" s="161">
        <f>IF(OR(D55="None",D55="None (protected)"),999,IF(E55="Spread",K55+ROUNDUP(I55/5,0)+1,IF(E55="Lump",K55+1,IF(E55="Czech-Notice",K55+23,999))))</f>
        <v/>
      </c>
      <c r="P55" s="161">
        <f>IF(OR(D55="None",D55="None (protected)"),999,IF(E55="Spread",0,IF(E55="Lump",K55,IF(E55="Czech-Notice",K55+22,999))))</f>
        <v/>
      </c>
    </row>
    <row r="56" ht="16" customHeight="1" s="121">
      <c r="B56" s="161" t="n">
        <v>14</v>
      </c>
      <c r="C56" s="162">
        <f>'02_Severance_Inputs'!C18</f>
        <v/>
      </c>
      <c r="D56" s="163">
        <f>'02_Severance_Inputs'!I18</f>
        <v/>
      </c>
      <c r="E56" s="163">
        <f>'02_Severance_Inputs'!K18</f>
        <v/>
      </c>
      <c r="F56" s="163">
        <f>'02_Severance_Inputs'!E18</f>
        <v/>
      </c>
      <c r="G56" s="164">
        <f>'02_Severance_Inputs'!F18</f>
        <v/>
      </c>
      <c r="H56" s="164">
        <f>'02_Severance_Inputs'!G18</f>
        <v/>
      </c>
      <c r="I56" s="161">
        <f>'02_Severance_Inputs'!J18</f>
        <v/>
      </c>
      <c r="J56" s="165">
        <f>IFERROR('02_Severance_Inputs'!L18,0)</f>
        <v/>
      </c>
      <c r="K56" s="161">
        <f>IFERROR(IF(ISNUMBER(J56),CEILING((J56-DATE(2026,5,10))/7,1),999),999)</f>
        <v/>
      </c>
      <c r="L56" s="164">
        <f>IF(OR(D56="None",D56="None (protected)"),0,H56/52)</f>
        <v/>
      </c>
      <c r="M56" s="164">
        <f>IF(OR(D56="None",D56="None (protected)",I56=0),0,G56*I56/52)</f>
        <v/>
      </c>
      <c r="N56" s="161">
        <f>IF(I56=0,999,K56+ROUNDUP(I56/5,0))</f>
        <v/>
      </c>
      <c r="O56" s="161">
        <f>IF(OR(D56="None",D56="None (protected)"),999,IF(E56="Spread",K56+ROUNDUP(I56/5,0)+1,IF(E56="Lump",K56+1,IF(E56="Czech-Notice",K56+23,999))))</f>
        <v/>
      </c>
      <c r="P56" s="161">
        <f>IF(OR(D56="None",D56="None (protected)"),999,IF(E56="Spread",0,IF(E56="Lump",K56,IF(E56="Czech-Notice",K56+22,999))))</f>
        <v/>
      </c>
    </row>
    <row r="57" ht="16" customHeight="1" s="121">
      <c r="B57" s="161" t="n">
        <v>15</v>
      </c>
      <c r="C57" s="162">
        <f>'02_Severance_Inputs'!C19</f>
        <v/>
      </c>
      <c r="D57" s="163">
        <f>'02_Severance_Inputs'!I19</f>
        <v/>
      </c>
      <c r="E57" s="163">
        <f>'02_Severance_Inputs'!K19</f>
        <v/>
      </c>
      <c r="F57" s="163">
        <f>'02_Severance_Inputs'!E19</f>
        <v/>
      </c>
      <c r="G57" s="164">
        <f>'02_Severance_Inputs'!F19</f>
        <v/>
      </c>
      <c r="H57" s="164">
        <f>'02_Severance_Inputs'!G19</f>
        <v/>
      </c>
      <c r="I57" s="161">
        <f>'02_Severance_Inputs'!J19</f>
        <v/>
      </c>
      <c r="J57" s="165">
        <f>IFERROR('02_Severance_Inputs'!L19,0)</f>
        <v/>
      </c>
      <c r="K57" s="161">
        <f>IFERROR(IF(ISNUMBER(J57),CEILING((J57-DATE(2026,5,10))/7,1),999),999)</f>
        <v/>
      </c>
      <c r="L57" s="164">
        <f>IF(OR(D57="None",D57="None (protected)"),0,H57/52)</f>
        <v/>
      </c>
      <c r="M57" s="164">
        <f>IF(OR(D57="None",D57="None (protected)",I57=0),0,G57*I57/52)</f>
        <v/>
      </c>
      <c r="N57" s="161">
        <f>IF(I57=0,999,K57+ROUNDUP(I57/5,0))</f>
        <v/>
      </c>
      <c r="O57" s="161">
        <f>IF(OR(D57="None",D57="None (protected)"),999,IF(E57="Spread",K57+ROUNDUP(I57/5,0)+1,IF(E57="Lump",K57+1,IF(E57="Czech-Notice",K57+23,999))))</f>
        <v/>
      </c>
      <c r="P57" s="161">
        <f>IF(OR(D57="None",D57="None (protected)"),999,IF(E57="Spread",0,IF(E57="Lump",K57,IF(E57="Czech-Notice",K57+22,999))))</f>
        <v/>
      </c>
    </row>
    <row r="58" ht="16" customHeight="1" s="121">
      <c r="B58" s="161" t="n">
        <v>16</v>
      </c>
      <c r="C58" s="162">
        <f>'02_Severance_Inputs'!C20</f>
        <v/>
      </c>
      <c r="D58" s="163">
        <f>'02_Severance_Inputs'!I20</f>
        <v/>
      </c>
      <c r="E58" s="163">
        <f>'02_Severance_Inputs'!K20</f>
        <v/>
      </c>
      <c r="F58" s="163">
        <f>'02_Severance_Inputs'!E20</f>
        <v/>
      </c>
      <c r="G58" s="164">
        <f>'02_Severance_Inputs'!F20</f>
        <v/>
      </c>
      <c r="H58" s="164">
        <f>'02_Severance_Inputs'!G20</f>
        <v/>
      </c>
      <c r="I58" s="161">
        <f>'02_Severance_Inputs'!J20</f>
        <v/>
      </c>
      <c r="J58" s="165">
        <f>IFERROR('02_Severance_Inputs'!L20,0)</f>
        <v/>
      </c>
      <c r="K58" s="161">
        <f>IFERROR(IF(ISNUMBER(J58),CEILING((J58-DATE(2026,5,10))/7,1),999),999)</f>
        <v/>
      </c>
      <c r="L58" s="164">
        <f>IF(OR(D58="None",D58="None (protected)"),0,H58/52)</f>
        <v/>
      </c>
      <c r="M58" s="164">
        <f>IF(OR(D58="None",D58="None (protected)",I58=0),0,G58*I58/52)</f>
        <v/>
      </c>
      <c r="N58" s="161">
        <f>IF(I58=0,999,K58+ROUNDUP(I58/5,0))</f>
        <v/>
      </c>
      <c r="O58" s="161">
        <f>IF(OR(D58="None",D58="None (protected)"),999,IF(E58="Spread",K58+ROUNDUP(I58/5,0)+1,IF(E58="Lump",K58+1,IF(E58="Czech-Notice",K58+23,999))))</f>
        <v/>
      </c>
      <c r="P58" s="161">
        <f>IF(OR(D58="None",D58="None (protected)"),999,IF(E58="Spread",0,IF(E58="Lump",K58,IF(E58="Czech-Notice",K58+22,999))))</f>
        <v/>
      </c>
    </row>
    <row r="59" ht="16" customHeight="1" s="121">
      <c r="B59" s="161" t="n">
        <v>17</v>
      </c>
      <c r="C59" s="162">
        <f>'02_Severance_Inputs'!C21</f>
        <v/>
      </c>
      <c r="D59" s="163">
        <f>'02_Severance_Inputs'!I21</f>
        <v/>
      </c>
      <c r="E59" s="163">
        <f>'02_Severance_Inputs'!K21</f>
        <v/>
      </c>
      <c r="F59" s="163">
        <f>'02_Severance_Inputs'!E21</f>
        <v/>
      </c>
      <c r="G59" s="164">
        <f>'02_Severance_Inputs'!F21</f>
        <v/>
      </c>
      <c r="H59" s="164">
        <f>'02_Severance_Inputs'!G21</f>
        <v/>
      </c>
      <c r="I59" s="161">
        <f>'02_Severance_Inputs'!J21</f>
        <v/>
      </c>
      <c r="J59" s="165">
        <f>IFERROR('02_Severance_Inputs'!L21,0)</f>
        <v/>
      </c>
      <c r="K59" s="161">
        <f>IFERROR(IF(ISNUMBER(J59),CEILING((J59-DATE(2026,5,10))/7,1),999),999)</f>
        <v/>
      </c>
      <c r="L59" s="164">
        <f>IF(OR(D59="None",D59="None (protected)"),0,H59/52)</f>
        <v/>
      </c>
      <c r="M59" s="164">
        <f>IF(OR(D59="None",D59="None (protected)",I59=0),0,G59*I59/52)</f>
        <v/>
      </c>
      <c r="N59" s="161">
        <f>IF(I59=0,999,K59+ROUNDUP(I59/5,0))</f>
        <v/>
      </c>
      <c r="O59" s="161">
        <f>IF(OR(D59="None",D59="None (protected)"),999,IF(E59="Spread",K59+ROUNDUP(I59/5,0)+1,IF(E59="Lump",K59+1,IF(E59="Czech-Notice",K59+23,999))))</f>
        <v/>
      </c>
      <c r="P59" s="161">
        <f>IF(OR(D59="None",D59="None (protected)"),999,IF(E59="Spread",0,IF(E59="Lump",K59,IF(E59="Czech-Notice",K59+22,999))))</f>
        <v/>
      </c>
    </row>
    <row r="60" ht="16" customHeight="1" s="121">
      <c r="B60" s="161" t="n">
        <v>18</v>
      </c>
      <c r="C60" s="162">
        <f>'02_Severance_Inputs'!C22</f>
        <v/>
      </c>
      <c r="D60" s="163">
        <f>'02_Severance_Inputs'!I22</f>
        <v/>
      </c>
      <c r="E60" s="163">
        <f>'02_Severance_Inputs'!K22</f>
        <v/>
      </c>
      <c r="F60" s="163">
        <f>'02_Severance_Inputs'!E22</f>
        <v/>
      </c>
      <c r="G60" s="164">
        <f>'02_Severance_Inputs'!F22</f>
        <v/>
      </c>
      <c r="H60" s="164">
        <f>'02_Severance_Inputs'!G22</f>
        <v/>
      </c>
      <c r="I60" s="161">
        <f>'02_Severance_Inputs'!J22</f>
        <v/>
      </c>
      <c r="J60" s="165">
        <f>IFERROR('02_Severance_Inputs'!L22,0)</f>
        <v/>
      </c>
      <c r="K60" s="161">
        <f>IFERROR(IF(ISNUMBER(J60),CEILING((J60-DATE(2026,5,10))/7,1),999),999)</f>
        <v/>
      </c>
      <c r="L60" s="164">
        <f>IF(OR(D60="None",D60="None (protected)"),0,H60/52)</f>
        <v/>
      </c>
      <c r="M60" s="164">
        <f>IF(OR(D60="None",D60="None (protected)",I60=0),0,G60*I60/52)</f>
        <v/>
      </c>
      <c r="N60" s="161">
        <f>IF(I60=0,999,K60+ROUNDUP(I60/5,0))</f>
        <v/>
      </c>
      <c r="O60" s="161">
        <f>IF(OR(D60="None",D60="None (protected)"),999,IF(E60="Spread",K60+ROUNDUP(I60/5,0)+1,IF(E60="Lump",K60+1,IF(E60="Czech-Notice",K60+23,999))))</f>
        <v/>
      </c>
      <c r="P60" s="161">
        <f>IF(OR(D60="None",D60="None (protected)"),999,IF(E60="Spread",0,IF(E60="Lump",K60,IF(E60="Czech-Notice",K60+22,999))))</f>
        <v/>
      </c>
    </row>
    <row r="61" ht="16" customHeight="1" s="121">
      <c r="B61" s="161" t="n">
        <v>19</v>
      </c>
      <c r="C61" s="162">
        <f>'02_Severance_Inputs'!C23</f>
        <v/>
      </c>
      <c r="D61" s="163">
        <f>'02_Severance_Inputs'!I23</f>
        <v/>
      </c>
      <c r="E61" s="163">
        <f>'02_Severance_Inputs'!K23</f>
        <v/>
      </c>
      <c r="F61" s="163">
        <f>'02_Severance_Inputs'!E23</f>
        <v/>
      </c>
      <c r="G61" s="164">
        <f>'02_Severance_Inputs'!F23</f>
        <v/>
      </c>
      <c r="H61" s="164">
        <f>'02_Severance_Inputs'!G23</f>
        <v/>
      </c>
      <c r="I61" s="161">
        <f>'02_Severance_Inputs'!J23</f>
        <v/>
      </c>
      <c r="J61" s="165">
        <f>IFERROR('02_Severance_Inputs'!L23,0)</f>
        <v/>
      </c>
      <c r="K61" s="161">
        <f>IFERROR(IF(ISNUMBER(J61),CEILING((J61-DATE(2026,5,10))/7,1),999),999)</f>
        <v/>
      </c>
      <c r="L61" s="164">
        <f>IF(OR(D61="None",D61="None (protected)"),0,H61/52)</f>
        <v/>
      </c>
      <c r="M61" s="164">
        <f>IF(OR(D61="None",D61="None (protected)",I61=0),0,G61*I61/52)</f>
        <v/>
      </c>
      <c r="N61" s="161">
        <f>IF(I61=0,999,K61+ROUNDUP(I61/5,0))</f>
        <v/>
      </c>
      <c r="O61" s="161">
        <f>IF(OR(D61="None",D61="None (protected)"),999,IF(E61="Spread",K61+ROUNDUP(I61/5,0)+1,IF(E61="Lump",K61+1,IF(E61="Czech-Notice",K61+23,999))))</f>
        <v/>
      </c>
      <c r="P61" s="161">
        <f>IF(OR(D61="None",D61="None (protected)"),999,IF(E61="Spread",0,IF(E61="Lump",K61,IF(E61="Czech-Notice",K61+22,999))))</f>
        <v/>
      </c>
    </row>
    <row r="62" ht="16" customHeight="1" s="121">
      <c r="B62" s="161" t="n">
        <v>20</v>
      </c>
      <c r="C62" s="162">
        <f>'02_Severance_Inputs'!C24</f>
        <v/>
      </c>
      <c r="D62" s="163">
        <f>'02_Severance_Inputs'!I24</f>
        <v/>
      </c>
      <c r="E62" s="163">
        <f>'02_Severance_Inputs'!K24</f>
        <v/>
      </c>
      <c r="F62" s="163">
        <f>'02_Severance_Inputs'!E24</f>
        <v/>
      </c>
      <c r="G62" s="164">
        <f>'02_Severance_Inputs'!F24</f>
        <v/>
      </c>
      <c r="H62" s="164">
        <f>'02_Severance_Inputs'!G24</f>
        <v/>
      </c>
      <c r="I62" s="161">
        <f>'02_Severance_Inputs'!J24</f>
        <v/>
      </c>
      <c r="J62" s="165">
        <f>IFERROR('02_Severance_Inputs'!L24,0)</f>
        <v/>
      </c>
      <c r="K62" s="161">
        <f>IFERROR(IF(ISNUMBER(J62),CEILING((J62-DATE(2026,5,10))/7,1),999),999)</f>
        <v/>
      </c>
      <c r="L62" s="164">
        <f>IF(OR(D62="None",D62="None (protected)"),0,H62/52)</f>
        <v/>
      </c>
      <c r="M62" s="164">
        <f>IF(OR(D62="None",D62="None (protected)",I62=0),0,G62*I62/52)</f>
        <v/>
      </c>
      <c r="N62" s="161">
        <f>IF(I62=0,999,K62+ROUNDUP(I62/5,0))</f>
        <v/>
      </c>
      <c r="O62" s="161">
        <f>IF(OR(D62="None",D62="None (protected)"),999,IF(E62="Spread",K62+ROUNDUP(I62/5,0)+1,IF(E62="Lump",K62+1,IF(E62="Czech-Notice",K62+23,999))))</f>
        <v/>
      </c>
      <c r="P62" s="161">
        <f>IF(OR(D62="None",D62="None (protected)"),999,IF(E62="Spread",0,IF(E62="Lump",K62,IF(E62="Czech-Notice",K62+22,999))))</f>
        <v/>
      </c>
    </row>
    <row r="63" ht="16" customHeight="1" s="121">
      <c r="B63" s="161" t="n">
        <v>21</v>
      </c>
      <c r="C63" s="162">
        <f>'02_Severance_Inputs'!C25</f>
        <v/>
      </c>
      <c r="D63" s="163">
        <f>'02_Severance_Inputs'!I25</f>
        <v/>
      </c>
      <c r="E63" s="163">
        <f>'02_Severance_Inputs'!K25</f>
        <v/>
      </c>
      <c r="F63" s="163">
        <f>'02_Severance_Inputs'!E25</f>
        <v/>
      </c>
      <c r="G63" s="164">
        <f>'02_Severance_Inputs'!F25</f>
        <v/>
      </c>
      <c r="H63" s="164">
        <f>'02_Severance_Inputs'!G25</f>
        <v/>
      </c>
      <c r="I63" s="161">
        <f>'02_Severance_Inputs'!J25</f>
        <v/>
      </c>
      <c r="J63" s="165">
        <f>IFERROR('02_Severance_Inputs'!L25,0)</f>
        <v/>
      </c>
      <c r="K63" s="161">
        <f>IFERROR(IF(ISNUMBER(J63),CEILING((J63-DATE(2026,5,10))/7,1),999),999)</f>
        <v/>
      </c>
      <c r="L63" s="164">
        <f>IF(OR(D63="None",D63="None (protected)"),0,H63/52)</f>
        <v/>
      </c>
      <c r="M63" s="164">
        <f>IF(OR(D63="None",D63="None (protected)",I63=0),0,G63*I63/52)</f>
        <v/>
      </c>
      <c r="N63" s="161">
        <f>IF(I63=0,999,K63+ROUNDUP(I63/5,0))</f>
        <v/>
      </c>
      <c r="O63" s="161">
        <f>IF(OR(D63="None",D63="None (protected)"),999,IF(E63="Spread",K63+ROUNDUP(I63/5,0)+1,IF(E63="Lump",K63+1,IF(E63="Czech-Notice",K63+23,999))))</f>
        <v/>
      </c>
      <c r="P63" s="161">
        <f>IF(OR(D63="None",D63="None (protected)"),999,IF(E63="Spread",0,IF(E63="Lump",K63,IF(E63="Czech-Notice",K63+22,999))))</f>
        <v/>
      </c>
    </row>
    <row r="64" ht="16" customHeight="1" s="121">
      <c r="B64" s="161" t="n">
        <v>22</v>
      </c>
      <c r="C64" s="162">
        <f>'02_Severance_Inputs'!C26</f>
        <v/>
      </c>
      <c r="D64" s="163">
        <f>'02_Severance_Inputs'!I26</f>
        <v/>
      </c>
      <c r="E64" s="163">
        <f>'02_Severance_Inputs'!K26</f>
        <v/>
      </c>
      <c r="F64" s="163">
        <f>'02_Severance_Inputs'!E26</f>
        <v/>
      </c>
      <c r="G64" s="164">
        <f>'02_Severance_Inputs'!F26</f>
        <v/>
      </c>
      <c r="H64" s="164">
        <f>'02_Severance_Inputs'!G26</f>
        <v/>
      </c>
      <c r="I64" s="161">
        <f>'02_Severance_Inputs'!J26</f>
        <v/>
      </c>
      <c r="J64" s="165">
        <f>IFERROR('02_Severance_Inputs'!L26,0)</f>
        <v/>
      </c>
      <c r="K64" s="161">
        <f>IFERROR(IF(ISNUMBER(J64),CEILING((J64-DATE(2026,5,10))/7,1),999),999)</f>
        <v/>
      </c>
      <c r="L64" s="164">
        <f>IF(OR(D64="None",D64="None (protected)"),0,H64/52)</f>
        <v/>
      </c>
      <c r="M64" s="164">
        <f>IF(OR(D64="None",D64="None (protected)",I64=0),0,G64*I64/52)</f>
        <v/>
      </c>
      <c r="N64" s="161">
        <f>IF(I64=0,999,K64+ROUNDUP(I64/5,0))</f>
        <v/>
      </c>
      <c r="O64" s="161">
        <f>IF(OR(D64="None",D64="None (protected)"),999,IF(E64="Spread",K64+ROUNDUP(I64/5,0)+1,IF(E64="Lump",K64+1,IF(E64="Czech-Notice",K64+23,999))))</f>
        <v/>
      </c>
      <c r="P64" s="161">
        <f>IF(OR(D64="None",D64="None (protected)"),999,IF(E64="Spread",0,IF(E64="Lump",K64,IF(E64="Czech-Notice",K64+22,999))))</f>
        <v/>
      </c>
    </row>
    <row r="65" ht="16" customHeight="1" s="121">
      <c r="B65" s="161" t="n">
        <v>23</v>
      </c>
      <c r="C65" s="162">
        <f>'02_Severance_Inputs'!C27</f>
        <v/>
      </c>
      <c r="D65" s="163">
        <f>'02_Severance_Inputs'!I27</f>
        <v/>
      </c>
      <c r="E65" s="163">
        <f>'02_Severance_Inputs'!K27</f>
        <v/>
      </c>
      <c r="F65" s="163">
        <f>'02_Severance_Inputs'!E27</f>
        <v/>
      </c>
      <c r="G65" s="164">
        <f>'02_Severance_Inputs'!F27</f>
        <v/>
      </c>
      <c r="H65" s="164">
        <f>'02_Severance_Inputs'!G27</f>
        <v/>
      </c>
      <c r="I65" s="161">
        <f>'02_Severance_Inputs'!J27</f>
        <v/>
      </c>
      <c r="J65" s="165">
        <f>IFERROR('02_Severance_Inputs'!L27,0)</f>
        <v/>
      </c>
      <c r="K65" s="161">
        <f>IFERROR(IF(ISNUMBER(J65),CEILING((J65-DATE(2026,5,10))/7,1),999),999)</f>
        <v/>
      </c>
      <c r="L65" s="164">
        <f>IF(OR(D65="None",D65="None (protected)"),0,H65/52)</f>
        <v/>
      </c>
      <c r="M65" s="164">
        <f>IF(OR(D65="None",D65="None (protected)",I65=0),0,G65*I65/52)</f>
        <v/>
      </c>
      <c r="N65" s="161">
        <f>IF(I65=0,999,K65+ROUNDUP(I65/5,0))</f>
        <v/>
      </c>
      <c r="O65" s="161">
        <f>IF(OR(D65="None",D65="None (protected)"),999,IF(E65="Spread",K65+ROUNDUP(I65/5,0)+1,IF(E65="Lump",K65+1,IF(E65="Czech-Notice",K65+23,999))))</f>
        <v/>
      </c>
      <c r="P65" s="161">
        <f>IF(OR(D65="None",D65="None (protected)"),999,IF(E65="Spread",0,IF(E65="Lump",K65,IF(E65="Czech-Notice",K65+22,999))))</f>
        <v/>
      </c>
    </row>
    <row r="66" ht="16" customHeight="1" s="121">
      <c r="B66" s="161" t="n">
        <v>24</v>
      </c>
      <c r="C66" s="162">
        <f>'02_Severance_Inputs'!C28</f>
        <v/>
      </c>
      <c r="D66" s="163">
        <f>'02_Severance_Inputs'!I28</f>
        <v/>
      </c>
      <c r="E66" s="163">
        <f>'02_Severance_Inputs'!K28</f>
        <v/>
      </c>
      <c r="F66" s="163">
        <f>'02_Severance_Inputs'!E28</f>
        <v/>
      </c>
      <c r="G66" s="164">
        <f>'02_Severance_Inputs'!F28</f>
        <v/>
      </c>
      <c r="H66" s="164">
        <f>'02_Severance_Inputs'!G28</f>
        <v/>
      </c>
      <c r="I66" s="161">
        <f>'02_Severance_Inputs'!J28</f>
        <v/>
      </c>
      <c r="J66" s="165">
        <f>IFERROR('02_Severance_Inputs'!L28,0)</f>
        <v/>
      </c>
      <c r="K66" s="161">
        <f>IFERROR(IF(ISNUMBER(J66),CEILING((J66-DATE(2026,5,10))/7,1),999),999)</f>
        <v/>
      </c>
      <c r="L66" s="164">
        <f>IF(OR(D66="None",D66="None (protected)"),0,H66/52)</f>
        <v/>
      </c>
      <c r="M66" s="164">
        <f>IF(OR(D66="None",D66="None (protected)",I66=0),0,G66*I66/52)</f>
        <v/>
      </c>
      <c r="N66" s="161">
        <f>IF(I66=0,999,K66+ROUNDUP(I66/5,0))</f>
        <v/>
      </c>
      <c r="O66" s="161">
        <f>IF(OR(D66="None",D66="None (protected)"),999,IF(E66="Spread",K66+ROUNDUP(I66/5,0)+1,IF(E66="Lump",K66+1,IF(E66="Czech-Notice",K66+23,999))))</f>
        <v/>
      </c>
      <c r="P66" s="161">
        <f>IF(OR(D66="None",D66="None (protected)"),999,IF(E66="Spread",0,IF(E66="Lump",K66,IF(E66="Czech-Notice",K66+22,999))))</f>
        <v/>
      </c>
    </row>
    <row r="67" ht="16" customHeight="1" s="121">
      <c r="B67" s="161" t="n">
        <v>25</v>
      </c>
      <c r="C67" s="162">
        <f>'02_Severance_Inputs'!C29</f>
        <v/>
      </c>
      <c r="D67" s="163">
        <f>'02_Severance_Inputs'!I29</f>
        <v/>
      </c>
      <c r="E67" s="163">
        <f>'02_Severance_Inputs'!K29</f>
        <v/>
      </c>
      <c r="F67" s="163">
        <f>'02_Severance_Inputs'!E29</f>
        <v/>
      </c>
      <c r="G67" s="164">
        <f>'02_Severance_Inputs'!F29</f>
        <v/>
      </c>
      <c r="H67" s="164">
        <f>'02_Severance_Inputs'!G29</f>
        <v/>
      </c>
      <c r="I67" s="161">
        <f>'02_Severance_Inputs'!J29</f>
        <v/>
      </c>
      <c r="J67" s="165">
        <f>IFERROR('02_Severance_Inputs'!L29,0)</f>
        <v/>
      </c>
      <c r="K67" s="161">
        <f>IFERROR(IF(ISNUMBER(J67),CEILING((J67-DATE(2026,5,10))/7,1),999),999)</f>
        <v/>
      </c>
      <c r="L67" s="164">
        <f>IF(OR(D67="None",D67="None (protected)"),0,H67/52)</f>
        <v/>
      </c>
      <c r="M67" s="164">
        <f>IF(OR(D67="None",D67="None (protected)",I67=0),0,G67*I67/52)</f>
        <v/>
      </c>
      <c r="N67" s="161">
        <f>IF(I67=0,999,K67+ROUNDUP(I67/5,0))</f>
        <v/>
      </c>
      <c r="O67" s="161">
        <f>IF(OR(D67="None",D67="None (protected)"),999,IF(E67="Spread",K67+ROUNDUP(I67/5,0)+1,IF(E67="Lump",K67+1,IF(E67="Czech-Notice",K67+23,999))))</f>
        <v/>
      </c>
      <c r="P67" s="161">
        <f>IF(OR(D67="None",D67="None (protected)"),999,IF(E67="Spread",0,IF(E67="Lump",K67,IF(E67="Czech-Notice",K67+22,999))))</f>
        <v/>
      </c>
    </row>
    <row r="68" ht="16" customHeight="1" s="121">
      <c r="B68" s="161" t="n">
        <v>26</v>
      </c>
      <c r="C68" s="162">
        <f>'02_Severance_Inputs'!C30</f>
        <v/>
      </c>
      <c r="D68" s="163">
        <f>'02_Severance_Inputs'!I30</f>
        <v/>
      </c>
      <c r="E68" s="163">
        <f>'02_Severance_Inputs'!K30</f>
        <v/>
      </c>
      <c r="F68" s="163">
        <f>'02_Severance_Inputs'!E30</f>
        <v/>
      </c>
      <c r="G68" s="164">
        <f>'02_Severance_Inputs'!F30</f>
        <v/>
      </c>
      <c r="H68" s="164">
        <f>'02_Severance_Inputs'!G30</f>
        <v/>
      </c>
      <c r="I68" s="161">
        <f>'02_Severance_Inputs'!J30</f>
        <v/>
      </c>
      <c r="J68" s="165">
        <f>IFERROR('02_Severance_Inputs'!L30,0)</f>
        <v/>
      </c>
      <c r="K68" s="161">
        <f>IFERROR(IF(ISNUMBER(J68),CEILING((J68-DATE(2026,5,10))/7,1),999),999)</f>
        <v/>
      </c>
      <c r="L68" s="164">
        <f>IF(OR(D68="None",D68="None (protected)"),0,H68/52)</f>
        <v/>
      </c>
      <c r="M68" s="164">
        <f>IF(OR(D68="None",D68="None (protected)",I68=0),0,G68*I68/52)</f>
        <v/>
      </c>
      <c r="N68" s="161">
        <f>IF(I68=0,999,K68+ROUNDUP(I68/5,0))</f>
        <v/>
      </c>
      <c r="O68" s="161">
        <f>IF(OR(D68="None",D68="None (protected)"),999,IF(E68="Spread",K68+ROUNDUP(I68/5,0)+1,IF(E68="Lump",K68+1,IF(E68="Czech-Notice",K68+23,999))))</f>
        <v/>
      </c>
      <c r="P68" s="161">
        <f>IF(OR(D68="None",D68="None (protected)"),999,IF(E68="Spread",0,IF(E68="Lump",K68,IF(E68="Czech-Notice",K68+22,999))))</f>
        <v/>
      </c>
    </row>
    <row r="69" ht="16" customHeight="1" s="121">
      <c r="B69" s="161" t="n">
        <v>27</v>
      </c>
      <c r="C69" s="162">
        <f>'02_Severance_Inputs'!C31</f>
        <v/>
      </c>
      <c r="D69" s="163">
        <f>'02_Severance_Inputs'!I31</f>
        <v/>
      </c>
      <c r="E69" s="163">
        <f>'02_Severance_Inputs'!K31</f>
        <v/>
      </c>
      <c r="F69" s="163">
        <f>'02_Severance_Inputs'!E31</f>
        <v/>
      </c>
      <c r="G69" s="164">
        <f>'02_Severance_Inputs'!F31</f>
        <v/>
      </c>
      <c r="H69" s="164">
        <f>'02_Severance_Inputs'!G31</f>
        <v/>
      </c>
      <c r="I69" s="161">
        <f>'02_Severance_Inputs'!J31</f>
        <v/>
      </c>
      <c r="J69" s="165">
        <f>IFERROR('02_Severance_Inputs'!L31,0)</f>
        <v/>
      </c>
      <c r="K69" s="161">
        <f>IFERROR(IF(ISNUMBER(J69),CEILING((J69-DATE(2026,5,10))/7,1),999),999)</f>
        <v/>
      </c>
      <c r="L69" s="164">
        <f>IF(OR(D69="None",D69="None (protected)"),0,H69/52)</f>
        <v/>
      </c>
      <c r="M69" s="164">
        <f>IF(OR(D69="None",D69="None (protected)",I69=0),0,G69*I69/52)</f>
        <v/>
      </c>
      <c r="N69" s="161">
        <f>IF(I69=0,999,K69+ROUNDUP(I69/5,0))</f>
        <v/>
      </c>
      <c r="O69" s="161">
        <f>IF(OR(D69="None",D69="None (protected)"),999,IF(E69="Spread",K69+ROUNDUP(I69/5,0)+1,IF(E69="Lump",K69+1,IF(E69="Czech-Notice",K69+23,999))))</f>
        <v/>
      </c>
      <c r="P69" s="161">
        <f>IF(OR(D69="None",D69="None (protected)"),999,IF(E69="Spread",0,IF(E69="Lump",K69,IF(E69="Czech-Notice",K69+22,999))))</f>
        <v/>
      </c>
    </row>
    <row r="70" ht="16" customHeight="1" s="121">
      <c r="B70" s="161" t="n">
        <v>28</v>
      </c>
      <c r="C70" s="162">
        <f>'02_Severance_Inputs'!C32</f>
        <v/>
      </c>
      <c r="D70" s="163">
        <f>'02_Severance_Inputs'!I32</f>
        <v/>
      </c>
      <c r="E70" s="163">
        <f>'02_Severance_Inputs'!K32</f>
        <v/>
      </c>
      <c r="F70" s="163">
        <f>'02_Severance_Inputs'!E32</f>
        <v/>
      </c>
      <c r="G70" s="164">
        <f>'02_Severance_Inputs'!F32</f>
        <v/>
      </c>
      <c r="H70" s="164">
        <f>'02_Severance_Inputs'!G32</f>
        <v/>
      </c>
      <c r="I70" s="161">
        <f>'02_Severance_Inputs'!J32</f>
        <v/>
      </c>
      <c r="J70" s="165">
        <f>IFERROR('02_Severance_Inputs'!L32,0)</f>
        <v/>
      </c>
      <c r="K70" s="161">
        <f>IFERROR(IF(ISNUMBER(J70),CEILING((J70-DATE(2026,5,10))/7,1),999),999)</f>
        <v/>
      </c>
      <c r="L70" s="164">
        <f>IF(OR(D70="None",D70="None (protected)"),0,H70/52)</f>
        <v/>
      </c>
      <c r="M70" s="164">
        <f>IF(OR(D70="None",D70="None (protected)",I70=0),0,G70*I70/52)</f>
        <v/>
      </c>
      <c r="N70" s="161">
        <f>IF(I70=0,999,K70+ROUNDUP(I70/5,0))</f>
        <v/>
      </c>
      <c r="O70" s="161">
        <f>IF(OR(D70="None",D70="None (protected)"),999,IF(E70="Spread",K70+ROUNDUP(I70/5,0)+1,IF(E70="Lump",K70+1,IF(E70="Czech-Notice",K70+23,999))))</f>
        <v/>
      </c>
      <c r="P70" s="161">
        <f>IF(OR(D70="None",D70="None (protected)"),999,IF(E70="Spread",0,IF(E70="Lump",K70,IF(E70="Czech-Notice",K70+22,999))))</f>
        <v/>
      </c>
    </row>
    <row r="71" ht="16" customHeight="1" s="121">
      <c r="B71" s="161" t="n">
        <v>29</v>
      </c>
      <c r="C71" s="162">
        <f>'02_Severance_Inputs'!C33</f>
        <v/>
      </c>
      <c r="D71" s="163">
        <f>'02_Severance_Inputs'!I33</f>
        <v/>
      </c>
      <c r="E71" s="163">
        <f>'02_Severance_Inputs'!K33</f>
        <v/>
      </c>
      <c r="F71" s="163">
        <f>'02_Severance_Inputs'!E33</f>
        <v/>
      </c>
      <c r="G71" s="164">
        <f>'02_Severance_Inputs'!F33</f>
        <v/>
      </c>
      <c r="H71" s="164">
        <f>'02_Severance_Inputs'!G33</f>
        <v/>
      </c>
      <c r="I71" s="161">
        <f>'02_Severance_Inputs'!J33</f>
        <v/>
      </c>
      <c r="J71" s="165">
        <f>IFERROR('02_Severance_Inputs'!L33,0)</f>
        <v/>
      </c>
      <c r="K71" s="161">
        <f>IFERROR(IF(ISNUMBER(J71),CEILING((J71-DATE(2026,5,10))/7,1),999),999)</f>
        <v/>
      </c>
      <c r="L71" s="164">
        <f>IF(OR(D71="None",D71="None (protected)"),0,H71/52)</f>
        <v/>
      </c>
      <c r="M71" s="164">
        <f>IF(OR(D71="None",D71="None (protected)",I71=0),0,G71*I71/52)</f>
        <v/>
      </c>
      <c r="N71" s="161">
        <f>IF(I71=0,999,K71+ROUNDUP(I71/5,0))</f>
        <v/>
      </c>
      <c r="O71" s="161">
        <f>IF(OR(D71="None",D71="None (protected)"),999,IF(E71="Spread",K71+ROUNDUP(I71/5,0)+1,IF(E71="Lump",K71+1,IF(E71="Czech-Notice",K71+23,999))))</f>
        <v/>
      </c>
      <c r="P71" s="161">
        <f>IF(OR(D71="None",D71="None (protected)"),999,IF(E71="Spread",0,IF(E71="Lump",K71,IF(E71="Czech-Notice",K71+22,999))))</f>
        <v/>
      </c>
    </row>
    <row r="72" ht="16" customHeight="1" s="121">
      <c r="B72" s="161" t="n">
        <v>30</v>
      </c>
      <c r="C72" s="162">
        <f>'02_Severance_Inputs'!C34</f>
        <v/>
      </c>
      <c r="D72" s="163">
        <f>'02_Severance_Inputs'!I34</f>
        <v/>
      </c>
      <c r="E72" s="163">
        <f>'02_Severance_Inputs'!K34</f>
        <v/>
      </c>
      <c r="F72" s="163">
        <f>'02_Severance_Inputs'!E34</f>
        <v/>
      </c>
      <c r="G72" s="164">
        <f>'02_Severance_Inputs'!F34</f>
        <v/>
      </c>
      <c r="H72" s="164">
        <f>'02_Severance_Inputs'!G34</f>
        <v/>
      </c>
      <c r="I72" s="161">
        <f>'02_Severance_Inputs'!J34</f>
        <v/>
      </c>
      <c r="J72" s="165">
        <f>IFERROR('02_Severance_Inputs'!L34,0)</f>
        <v/>
      </c>
      <c r="K72" s="161">
        <f>IFERROR(IF(ISNUMBER(J72),CEILING((J72-DATE(2026,5,10))/7,1),999),999)</f>
        <v/>
      </c>
      <c r="L72" s="164">
        <f>IF(OR(D72="None",D72="None (protected)"),0,H72/52)</f>
        <v/>
      </c>
      <c r="M72" s="164">
        <f>IF(OR(D72="None",D72="None (protected)",I72=0),0,G72*I72/52)</f>
        <v/>
      </c>
      <c r="N72" s="161">
        <f>IF(I72=0,999,K72+ROUNDUP(I72/5,0))</f>
        <v/>
      </c>
      <c r="O72" s="161">
        <f>IF(OR(D72="None",D72="None (protected)"),999,IF(E72="Spread",K72+ROUNDUP(I72/5,0)+1,IF(E72="Lump",K72+1,IF(E72="Czech-Notice",K72+23,999))))</f>
        <v/>
      </c>
      <c r="P72" s="161">
        <f>IF(OR(D72="None",D72="None (protected)"),999,IF(E72="Spread",0,IF(E72="Lump",K72,IF(E72="Czech-Notice",K72+22,999))))</f>
        <v/>
      </c>
    </row>
    <row r="73" ht="16" customHeight="1" s="121">
      <c r="B73" s="161" t="n">
        <v>31</v>
      </c>
      <c r="C73" s="162">
        <f>'02_Severance_Inputs'!C35</f>
        <v/>
      </c>
      <c r="D73" s="163">
        <f>'02_Severance_Inputs'!I35</f>
        <v/>
      </c>
      <c r="E73" s="163">
        <f>'02_Severance_Inputs'!K35</f>
        <v/>
      </c>
      <c r="F73" s="163">
        <f>'02_Severance_Inputs'!E35</f>
        <v/>
      </c>
      <c r="G73" s="164">
        <f>'02_Severance_Inputs'!F35</f>
        <v/>
      </c>
      <c r="H73" s="164">
        <f>'02_Severance_Inputs'!G35</f>
        <v/>
      </c>
      <c r="I73" s="161">
        <f>'02_Severance_Inputs'!J35</f>
        <v/>
      </c>
      <c r="J73" s="165">
        <f>IFERROR('02_Severance_Inputs'!L35,0)</f>
        <v/>
      </c>
      <c r="K73" s="161">
        <f>IFERROR(IF(ISNUMBER(J73),CEILING((J73-DATE(2026,5,10))/7,1),999),999)</f>
        <v/>
      </c>
      <c r="L73" s="164">
        <f>IF(OR(D73="None",D73="None (protected)"),0,H73/52)</f>
        <v/>
      </c>
      <c r="M73" s="164">
        <f>IF(OR(D73="None",D73="None (protected)",I73=0),0,G73*I73/52)</f>
        <v/>
      </c>
      <c r="N73" s="161">
        <f>IF(I73=0,999,K73+ROUNDUP(I73/5,0))</f>
        <v/>
      </c>
      <c r="O73" s="161">
        <f>IF(OR(D73="None",D73="None (protected)"),999,IF(E73="Spread",K73+ROUNDUP(I73/5,0)+1,IF(E73="Lump",K73+1,IF(E73="Czech-Notice",K73+23,999))))</f>
        <v/>
      </c>
      <c r="P73" s="161">
        <f>IF(OR(D73="None",D73="None (protected)"),999,IF(E73="Spread",0,IF(E73="Lump",K73,IF(E73="Czech-Notice",K73+22,999))))</f>
        <v/>
      </c>
    </row>
    <row r="74" ht="16" customHeight="1" s="121">
      <c r="B74" s="161" t="n">
        <v>32</v>
      </c>
      <c r="C74" s="162">
        <f>'02_Severance_Inputs'!C36</f>
        <v/>
      </c>
      <c r="D74" s="163">
        <f>'02_Severance_Inputs'!I36</f>
        <v/>
      </c>
      <c r="E74" s="163">
        <f>'02_Severance_Inputs'!K36</f>
        <v/>
      </c>
      <c r="F74" s="163">
        <f>'02_Severance_Inputs'!E36</f>
        <v/>
      </c>
      <c r="G74" s="164">
        <f>'02_Severance_Inputs'!F36</f>
        <v/>
      </c>
      <c r="H74" s="164">
        <f>'02_Severance_Inputs'!G36</f>
        <v/>
      </c>
      <c r="I74" s="161">
        <f>'02_Severance_Inputs'!J36</f>
        <v/>
      </c>
      <c r="J74" s="165">
        <f>IFERROR('02_Severance_Inputs'!L36,0)</f>
        <v/>
      </c>
      <c r="K74" s="161">
        <f>IFERROR(IF(ISNUMBER(J74),CEILING((J74-DATE(2026,5,10))/7,1),999),999)</f>
        <v/>
      </c>
      <c r="L74" s="164">
        <f>IF(OR(D74="None",D74="None (protected)"),0,H74/52)</f>
        <v/>
      </c>
      <c r="M74" s="164">
        <f>IF(OR(D74="None",D74="None (protected)",I74=0),0,G74*I74/52)</f>
        <v/>
      </c>
      <c r="N74" s="161">
        <f>IF(I74=0,999,K74+ROUNDUP(I74/5,0))</f>
        <v/>
      </c>
      <c r="O74" s="161">
        <f>IF(OR(D74="None",D74="None (protected)"),999,IF(E74="Spread",K74+ROUNDUP(I74/5,0)+1,IF(E74="Lump",K74+1,IF(E74="Czech-Notice",K74+23,999))))</f>
        <v/>
      </c>
      <c r="P74" s="161">
        <f>IF(OR(D74="None",D74="None (protected)"),999,IF(E74="Spread",0,IF(E74="Lump",K74,IF(E74="Czech-Notice",K74+22,999))))</f>
        <v/>
      </c>
    </row>
    <row r="75" ht="16" customHeight="1" s="121">
      <c r="B75" s="161" t="n">
        <v>33</v>
      </c>
      <c r="C75" s="162">
        <f>'02_Severance_Inputs'!C37</f>
        <v/>
      </c>
      <c r="D75" s="163">
        <f>'02_Severance_Inputs'!I37</f>
        <v/>
      </c>
      <c r="E75" s="163">
        <f>'02_Severance_Inputs'!K37</f>
        <v/>
      </c>
      <c r="F75" s="163">
        <f>'02_Severance_Inputs'!E37</f>
        <v/>
      </c>
      <c r="G75" s="164">
        <f>'02_Severance_Inputs'!F37</f>
        <v/>
      </c>
      <c r="H75" s="164">
        <f>'02_Severance_Inputs'!G37</f>
        <v/>
      </c>
      <c r="I75" s="161">
        <f>'02_Severance_Inputs'!J37</f>
        <v/>
      </c>
      <c r="J75" s="165">
        <f>IFERROR('02_Severance_Inputs'!L37,0)</f>
        <v/>
      </c>
      <c r="K75" s="161">
        <f>IFERROR(IF(ISNUMBER(J75),CEILING((J75-DATE(2026,5,10))/7,1),999),999)</f>
        <v/>
      </c>
      <c r="L75" s="164">
        <f>IF(OR(D75="None",D75="None (protected)"),0,H75/52)</f>
        <v/>
      </c>
      <c r="M75" s="164">
        <f>IF(OR(D75="None",D75="None (protected)",I75=0),0,G75*I75/52)</f>
        <v/>
      </c>
      <c r="N75" s="161">
        <f>IF(I75=0,999,K75+ROUNDUP(I75/5,0))</f>
        <v/>
      </c>
      <c r="O75" s="161">
        <f>IF(OR(D75="None",D75="None (protected)"),999,IF(E75="Spread",K75+ROUNDUP(I75/5,0)+1,IF(E75="Lump",K75+1,IF(E75="Czech-Notice",K75+23,999))))</f>
        <v/>
      </c>
      <c r="P75" s="161">
        <f>IF(OR(D75="None",D75="None (protected)"),999,IF(E75="Spread",0,IF(E75="Lump",K75,IF(E75="Czech-Notice",K75+22,999))))</f>
        <v/>
      </c>
    </row>
    <row r="76" ht="16" customHeight="1" s="121">
      <c r="B76" s="161" t="n">
        <v>34</v>
      </c>
      <c r="C76" s="162">
        <f>'02_Severance_Inputs'!C38</f>
        <v/>
      </c>
      <c r="D76" s="163">
        <f>'02_Severance_Inputs'!I38</f>
        <v/>
      </c>
      <c r="E76" s="163">
        <f>'02_Severance_Inputs'!K38</f>
        <v/>
      </c>
      <c r="F76" s="163">
        <f>'02_Severance_Inputs'!E38</f>
        <v/>
      </c>
      <c r="G76" s="164">
        <f>'02_Severance_Inputs'!F38</f>
        <v/>
      </c>
      <c r="H76" s="164">
        <f>'02_Severance_Inputs'!G38</f>
        <v/>
      </c>
      <c r="I76" s="161">
        <f>'02_Severance_Inputs'!J38</f>
        <v/>
      </c>
      <c r="J76" s="165">
        <f>IFERROR('02_Severance_Inputs'!L38,0)</f>
        <v/>
      </c>
      <c r="K76" s="161">
        <f>IFERROR(IF(ISNUMBER(J76),CEILING((J76-DATE(2026,5,10))/7,1),999),999)</f>
        <v/>
      </c>
      <c r="L76" s="164">
        <f>IF(OR(D76="None",D76="None (protected)"),0,H76/52)</f>
        <v/>
      </c>
      <c r="M76" s="164">
        <f>IF(OR(D76="None",D76="None (protected)",I76=0),0,G76*I76/52)</f>
        <v/>
      </c>
      <c r="N76" s="161">
        <f>IF(I76=0,999,K76+ROUNDUP(I76/5,0))</f>
        <v/>
      </c>
      <c r="O76" s="161">
        <f>IF(OR(D76="None",D76="None (protected)"),999,IF(E76="Spread",K76+ROUNDUP(I76/5,0)+1,IF(E76="Lump",K76+1,IF(E76="Czech-Notice",K76+23,999))))</f>
        <v/>
      </c>
      <c r="P76" s="161">
        <f>IF(OR(D76="None",D76="None (protected)"),999,IF(E76="Spread",0,IF(E76="Lump",K76,IF(E76="Czech-Notice",K76+22,999))))</f>
        <v/>
      </c>
    </row>
    <row r="77" ht="16" customHeight="1" s="121">
      <c r="B77" s="161" t="n">
        <v>35</v>
      </c>
      <c r="C77" s="162">
        <f>'02_Severance_Inputs'!C39</f>
        <v/>
      </c>
      <c r="D77" s="163">
        <f>'02_Severance_Inputs'!I39</f>
        <v/>
      </c>
      <c r="E77" s="163">
        <f>'02_Severance_Inputs'!K39</f>
        <v/>
      </c>
      <c r="F77" s="163">
        <f>'02_Severance_Inputs'!E39</f>
        <v/>
      </c>
      <c r="G77" s="164">
        <f>'02_Severance_Inputs'!F39</f>
        <v/>
      </c>
      <c r="H77" s="164">
        <f>'02_Severance_Inputs'!G39</f>
        <v/>
      </c>
      <c r="I77" s="161">
        <f>'02_Severance_Inputs'!J39</f>
        <v/>
      </c>
      <c r="J77" s="165">
        <f>IFERROR('02_Severance_Inputs'!L39,0)</f>
        <v/>
      </c>
      <c r="K77" s="161">
        <f>IFERROR(IF(ISNUMBER(J77),CEILING((J77-DATE(2026,5,10))/7,1),999),999)</f>
        <v/>
      </c>
      <c r="L77" s="164">
        <f>IF(OR(D77="None",D77="None (protected)"),0,H77/52)</f>
        <v/>
      </c>
      <c r="M77" s="164">
        <f>IF(OR(D77="None",D77="None (protected)",I77=0),0,G77*I77/52)</f>
        <v/>
      </c>
      <c r="N77" s="161">
        <f>IF(I77=0,999,K77+ROUNDUP(I77/5,0))</f>
        <v/>
      </c>
      <c r="O77" s="161">
        <f>IF(OR(D77="None",D77="None (protected)"),999,IF(E77="Spread",K77+ROUNDUP(I77/5,0)+1,IF(E77="Lump",K77+1,IF(E77="Czech-Notice",K77+23,999))))</f>
        <v/>
      </c>
      <c r="P77" s="161">
        <f>IF(OR(D77="None",D77="None (protected)"),999,IF(E77="Spread",0,IF(E77="Lump",K77,IF(E77="Czech-Notice",K77+22,999))))</f>
        <v/>
      </c>
    </row>
    <row r="78" ht="16" customHeight="1" s="121">
      <c r="B78" s="161" t="n">
        <v>36</v>
      </c>
      <c r="C78" s="162">
        <f>'02_Severance_Inputs'!C40</f>
        <v/>
      </c>
      <c r="D78" s="163">
        <f>'02_Severance_Inputs'!I40</f>
        <v/>
      </c>
      <c r="E78" s="163">
        <f>'02_Severance_Inputs'!K40</f>
        <v/>
      </c>
      <c r="F78" s="163">
        <f>'02_Severance_Inputs'!E40</f>
        <v/>
      </c>
      <c r="G78" s="164">
        <f>'02_Severance_Inputs'!F40</f>
        <v/>
      </c>
      <c r="H78" s="164">
        <f>'02_Severance_Inputs'!G40</f>
        <v/>
      </c>
      <c r="I78" s="161">
        <f>'02_Severance_Inputs'!J40</f>
        <v/>
      </c>
      <c r="J78" s="165">
        <f>IFERROR('02_Severance_Inputs'!L40,0)</f>
        <v/>
      </c>
      <c r="K78" s="161">
        <f>IFERROR(IF(ISNUMBER(J78),CEILING((J78-DATE(2026,5,10))/7,1),999),999)</f>
        <v/>
      </c>
      <c r="L78" s="164">
        <f>IF(OR(D78="None",D78="None (protected)"),0,H78/52)</f>
        <v/>
      </c>
      <c r="M78" s="164">
        <f>IF(OR(D78="None",D78="None (protected)",I78=0),0,G78*I78/52)</f>
        <v/>
      </c>
      <c r="N78" s="161">
        <f>IF(I78=0,999,K78+ROUNDUP(I78/5,0))</f>
        <v/>
      </c>
      <c r="O78" s="161">
        <f>IF(OR(D78="None",D78="None (protected)"),999,IF(E78="Spread",K78+ROUNDUP(I78/5,0)+1,IF(E78="Lump",K78+1,IF(E78="Czech-Notice",K78+23,999))))</f>
        <v/>
      </c>
      <c r="P78" s="161">
        <f>IF(OR(D78="None",D78="None (protected)"),999,IF(E78="Spread",0,IF(E78="Lump",K78,IF(E78="Czech-Notice",K78+22,999))))</f>
        <v/>
      </c>
    </row>
    <row r="79" ht="16" customHeight="1" s="121">
      <c r="B79" s="161" t="n">
        <v>37</v>
      </c>
      <c r="C79" s="162">
        <f>'02_Severance_Inputs'!C41</f>
        <v/>
      </c>
      <c r="D79" s="163">
        <f>'02_Severance_Inputs'!I41</f>
        <v/>
      </c>
      <c r="E79" s="163">
        <f>'02_Severance_Inputs'!K41</f>
        <v/>
      </c>
      <c r="F79" s="163">
        <f>'02_Severance_Inputs'!E41</f>
        <v/>
      </c>
      <c r="G79" s="164">
        <f>'02_Severance_Inputs'!F41</f>
        <v/>
      </c>
      <c r="H79" s="164">
        <f>'02_Severance_Inputs'!G41</f>
        <v/>
      </c>
      <c r="I79" s="161">
        <f>'02_Severance_Inputs'!J41</f>
        <v/>
      </c>
      <c r="J79" s="165">
        <f>IFERROR('02_Severance_Inputs'!L41,0)</f>
        <v/>
      </c>
      <c r="K79" s="161">
        <f>IFERROR(IF(ISNUMBER(J79),CEILING((J79-DATE(2026,5,10))/7,1),999),999)</f>
        <v/>
      </c>
      <c r="L79" s="164">
        <f>IF(OR(D79="None",D79="None (protected)"),0,H79/52)</f>
        <v/>
      </c>
      <c r="M79" s="164">
        <f>IF(OR(D79="None",D79="None (protected)",I79=0),0,G79*I79/52)</f>
        <v/>
      </c>
      <c r="N79" s="161">
        <f>IF(I79=0,999,K79+ROUNDUP(I79/5,0))</f>
        <v/>
      </c>
      <c r="O79" s="161">
        <f>IF(OR(D79="None",D79="None (protected)"),999,IF(E79="Spread",K79+ROUNDUP(I79/5,0)+1,IF(E79="Lump",K79+1,IF(E79="Czech-Notice",K79+23,999))))</f>
        <v/>
      </c>
      <c r="P79" s="161">
        <f>IF(OR(D79="None",D79="None (protected)"),999,IF(E79="Spread",0,IF(E79="Lump",K79,IF(E79="Czech-Notice",K79+22,999))))</f>
        <v/>
      </c>
    </row>
    <row r="80" ht="16" customHeight="1" s="121">
      <c r="B80" s="161" t="n">
        <v>38</v>
      </c>
      <c r="C80" s="162">
        <f>'02_Severance_Inputs'!C42</f>
        <v/>
      </c>
      <c r="D80" s="163">
        <f>'02_Severance_Inputs'!I42</f>
        <v/>
      </c>
      <c r="E80" s="163">
        <f>'02_Severance_Inputs'!K42</f>
        <v/>
      </c>
      <c r="F80" s="163">
        <f>'02_Severance_Inputs'!E42</f>
        <v/>
      </c>
      <c r="G80" s="164">
        <f>'02_Severance_Inputs'!F42</f>
        <v/>
      </c>
      <c r="H80" s="164">
        <f>'02_Severance_Inputs'!G42</f>
        <v/>
      </c>
      <c r="I80" s="161">
        <f>'02_Severance_Inputs'!J42</f>
        <v/>
      </c>
      <c r="J80" s="165">
        <f>IFERROR('02_Severance_Inputs'!L42,0)</f>
        <v/>
      </c>
      <c r="K80" s="161">
        <f>IFERROR(IF(ISNUMBER(J80),CEILING((J80-DATE(2026,5,10))/7,1),999),999)</f>
        <v/>
      </c>
      <c r="L80" s="164">
        <f>IF(OR(D80="None",D80="None (protected)"),0,H80/52)</f>
        <v/>
      </c>
      <c r="M80" s="164">
        <f>IF(OR(D80="None",D80="None (protected)",I80=0),0,G80*I80/52)</f>
        <v/>
      </c>
      <c r="N80" s="161">
        <f>IF(I80=0,999,K80+ROUNDUP(I80/5,0))</f>
        <v/>
      </c>
      <c r="O80" s="161">
        <f>IF(OR(D80="None",D80="None (protected)"),999,IF(E80="Spread",K80+ROUNDUP(I80/5,0)+1,IF(E80="Lump",K80+1,IF(E80="Czech-Notice",K80+23,999))))</f>
        <v/>
      </c>
      <c r="P80" s="161">
        <f>IF(OR(D80="None",D80="None (protected)"),999,IF(E80="Spread",0,IF(E80="Lump",K80,IF(E80="Czech-Notice",K80+22,999))))</f>
        <v/>
      </c>
    </row>
    <row r="81" ht="16" customHeight="1" s="121">
      <c r="B81" s="161" t="n">
        <v>39</v>
      </c>
      <c r="C81" s="162">
        <f>'02_Severance_Inputs'!C43</f>
        <v/>
      </c>
      <c r="D81" s="163">
        <f>'02_Severance_Inputs'!I43</f>
        <v/>
      </c>
      <c r="E81" s="163">
        <f>'02_Severance_Inputs'!K43</f>
        <v/>
      </c>
      <c r="F81" s="163">
        <f>'02_Severance_Inputs'!E43</f>
        <v/>
      </c>
      <c r="G81" s="164">
        <f>'02_Severance_Inputs'!F43</f>
        <v/>
      </c>
      <c r="H81" s="164">
        <f>'02_Severance_Inputs'!G43</f>
        <v/>
      </c>
      <c r="I81" s="161">
        <f>'02_Severance_Inputs'!J43</f>
        <v/>
      </c>
      <c r="J81" s="165">
        <f>IFERROR('02_Severance_Inputs'!L43,0)</f>
        <v/>
      </c>
      <c r="K81" s="161">
        <f>IFERROR(IF(ISNUMBER(J81),CEILING((J81-DATE(2026,5,10))/7,1),999),999)</f>
        <v/>
      </c>
      <c r="L81" s="164">
        <f>IF(OR(D81="None",D81="None (protected)"),0,H81/52)</f>
        <v/>
      </c>
      <c r="M81" s="164">
        <f>IF(OR(D81="None",D81="None (protected)",I81=0),0,G81*I81/52)</f>
        <v/>
      </c>
      <c r="N81" s="161">
        <f>IF(I81=0,999,K81+ROUNDUP(I81/5,0))</f>
        <v/>
      </c>
      <c r="O81" s="161">
        <f>IF(OR(D81="None",D81="None (protected)"),999,IF(E81="Spread",K81+ROUNDUP(I81/5,0)+1,IF(E81="Lump",K81+1,IF(E81="Czech-Notice",K81+23,999))))</f>
        <v/>
      </c>
      <c r="P81" s="161">
        <f>IF(OR(D81="None",D81="None (protected)"),999,IF(E81="Spread",0,IF(E81="Lump",K81,IF(E81="Czech-Notice",K81+22,999))))</f>
        <v/>
      </c>
    </row>
    <row r="82" ht="16" customHeight="1" s="121">
      <c r="B82" s="161" t="n">
        <v>40</v>
      </c>
      <c r="C82" s="162">
        <f>'02_Severance_Inputs'!C44</f>
        <v/>
      </c>
      <c r="D82" s="163">
        <f>'02_Severance_Inputs'!I44</f>
        <v/>
      </c>
      <c r="E82" s="163">
        <f>'02_Severance_Inputs'!K44</f>
        <v/>
      </c>
      <c r="F82" s="163">
        <f>'02_Severance_Inputs'!E44</f>
        <v/>
      </c>
      <c r="G82" s="164">
        <f>'02_Severance_Inputs'!F44</f>
        <v/>
      </c>
      <c r="H82" s="164">
        <f>'02_Severance_Inputs'!G44</f>
        <v/>
      </c>
      <c r="I82" s="161">
        <f>'02_Severance_Inputs'!J44</f>
        <v/>
      </c>
      <c r="J82" s="165">
        <f>IFERROR('02_Severance_Inputs'!L44,0)</f>
        <v/>
      </c>
      <c r="K82" s="161">
        <f>IFERROR(IF(ISNUMBER(J82),CEILING((J82-DATE(2026,5,10))/7,1),999),999)</f>
        <v/>
      </c>
      <c r="L82" s="164">
        <f>IF(OR(D82="None",D82="None (protected)"),0,H82/52)</f>
        <v/>
      </c>
      <c r="M82" s="164">
        <f>IF(OR(D82="None",D82="None (protected)",I82=0),0,G82*I82/52)</f>
        <v/>
      </c>
      <c r="N82" s="161">
        <f>IF(I82=0,999,K82+ROUNDUP(I82/5,0))</f>
        <v/>
      </c>
      <c r="O82" s="161">
        <f>IF(OR(D82="None",D82="None (protected)"),999,IF(E82="Spread",K82+ROUNDUP(I82/5,0)+1,IF(E82="Lump",K82+1,IF(E82="Czech-Notice",K82+23,999))))</f>
        <v/>
      </c>
      <c r="P82" s="161">
        <f>IF(OR(D82="None",D82="None (protected)"),999,IF(E82="Spread",0,IF(E82="Lump",K82,IF(E82="Czech-Notice",K82+22,999))))</f>
        <v/>
      </c>
    </row>
    <row r="83" ht="16" customHeight="1" s="121">
      <c r="B83" s="161" t="n">
        <v>41</v>
      </c>
      <c r="C83" s="162">
        <f>'02_Severance_Inputs'!C45</f>
        <v/>
      </c>
      <c r="D83" s="163">
        <f>'02_Severance_Inputs'!I45</f>
        <v/>
      </c>
      <c r="E83" s="163">
        <f>'02_Severance_Inputs'!K45</f>
        <v/>
      </c>
      <c r="F83" s="163">
        <f>'02_Severance_Inputs'!E45</f>
        <v/>
      </c>
      <c r="G83" s="164">
        <f>'02_Severance_Inputs'!F45</f>
        <v/>
      </c>
      <c r="H83" s="164">
        <f>'02_Severance_Inputs'!G45</f>
        <v/>
      </c>
      <c r="I83" s="161">
        <f>'02_Severance_Inputs'!J45</f>
        <v/>
      </c>
      <c r="J83" s="165">
        <f>IFERROR('02_Severance_Inputs'!L45,0)</f>
        <v/>
      </c>
      <c r="K83" s="161">
        <f>IFERROR(IF(ISNUMBER(J83),CEILING((J83-DATE(2026,5,10))/7,1),999),999)</f>
        <v/>
      </c>
      <c r="L83" s="164">
        <f>IF(OR(D83="None",D83="None (protected)"),0,H83/52)</f>
        <v/>
      </c>
      <c r="M83" s="164">
        <f>IF(OR(D83="None",D83="None (protected)",I83=0),0,G83*I83/52)</f>
        <v/>
      </c>
      <c r="N83" s="161">
        <f>IF(I83=0,999,K83+ROUNDUP(I83/5,0))</f>
        <v/>
      </c>
      <c r="O83" s="161">
        <f>IF(OR(D83="None",D83="None (protected)"),999,IF(E83="Spread",K83+ROUNDUP(I83/5,0)+1,IF(E83="Lump",K83+1,IF(E83="Czech-Notice",K83+23,999))))</f>
        <v/>
      </c>
      <c r="P83" s="161">
        <f>IF(OR(D83="None",D83="None (protected)"),999,IF(E83="Spread",0,IF(E83="Lump",K83,IF(E83="Czech-Notice",K83+22,999))))</f>
        <v/>
      </c>
    </row>
    <row r="85" ht="22" customHeight="1" s="121">
      <c r="B85" s="137" t="inlineStr">
        <is>
          <t>HOW THE FORMULAS WORK</t>
        </is>
      </c>
      <c r="C85" s="159" t="n"/>
      <c r="D85" s="159" t="n"/>
      <c r="E85" s="159" t="n"/>
      <c r="F85" s="159" t="n"/>
      <c r="G85" s="159" t="n"/>
      <c r="H85" s="159" t="n"/>
      <c r="I85" s="159" t="n"/>
      <c r="J85" s="159" t="n"/>
      <c r="K85" s="159" t="n"/>
      <c r="L85" s="159" t="n"/>
      <c r="M85" s="159" t="n"/>
      <c r="N85" s="159" t="n"/>
      <c r="O85" s="159" t="n"/>
      <c r="P85" s="159" t="n"/>
    </row>
    <row r="86" ht="16" customHeight="1" s="121">
      <c r="B86" s="35" t="inlineStr">
        <is>
          <t>Formula logic:</t>
        </is>
      </c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</row>
    <row r="87" ht="16" customHeight="1" s="121">
      <c r="B87" s="35" t="inlineStr">
        <is>
          <t>• T1/T2/T3 Tranche columns = SUMPRODUCT across all 41 helper rows:</t>
        </is>
      </c>
      <c r="C87" s="166" t="n"/>
      <c r="D87" s="166" t="n"/>
      <c r="E87" s="166" t="n"/>
      <c r="F87" s="166" t="n"/>
      <c r="G87" s="166" t="n"/>
      <c r="H87" s="166" t="n"/>
      <c r="I87" s="166" t="n"/>
      <c r="J87" s="166" t="n"/>
      <c r="K87" s="166" t="n"/>
      <c r="L87" s="166" t="n"/>
      <c r="M87" s="166" t="n"/>
      <c r="N87" s="166" t="n"/>
      <c r="O87" s="166" t="n"/>
      <c r="P87" s="166" t="n"/>
    </row>
    <row r="88" ht="16" customHeight="1" s="121">
      <c r="B88" s="167" t="inlineStr">
        <is>
          <t xml:space="preserve">     savings = SUM((tranche match) × (weekly saving) × (week_idx ≥ savings_start_wk))</t>
        </is>
      </c>
      <c r="C88" s="166" t="n"/>
      <c r="D88" s="166" t="n"/>
      <c r="E88" s="166" t="n"/>
      <c r="F88" s="166" t="n"/>
      <c r="G88" s="166" t="n"/>
      <c r="H88" s="166" t="n"/>
      <c r="I88" s="166" t="n"/>
      <c r="J88" s="166" t="n"/>
      <c r="K88" s="166" t="n"/>
      <c r="L88" s="166" t="n"/>
      <c r="M88" s="166" t="n"/>
      <c r="N88" s="166" t="n"/>
      <c r="O88" s="166" t="n"/>
      <c r="P88" s="166" t="n"/>
    </row>
    <row r="89" ht="16" customHeight="1" s="121">
      <c r="B89" s="167" t="inlineStr">
        <is>
          <t xml:space="preserve">     less severance lump = SUM((tranche match) × (severance amount) × (week_idx = lump_sev_wk))</t>
        </is>
      </c>
      <c r="C89" s="166" t="n"/>
      <c r="D89" s="166" t="n"/>
      <c r="E89" s="166" t="n"/>
      <c r="F89" s="166" t="n"/>
      <c r="G89" s="166" t="n"/>
      <c r="H89" s="166" t="n"/>
      <c r="I89" s="166" t="n"/>
      <c r="J89" s="166" t="n"/>
      <c r="K89" s="166" t="n"/>
      <c r="L89" s="166" t="n"/>
      <c r="M89" s="166" t="n"/>
      <c r="N89" s="166" t="n"/>
      <c r="O89" s="166" t="n"/>
      <c r="P89" s="166" t="n"/>
    </row>
    <row r="90" ht="16" customHeight="1" s="121">
      <c r="B90" s="51" t="inlineStr">
        <is>
          <t>• T1a Line Items pulls the weekly aggregate from 03_Cost_Levers cell G16</t>
        </is>
      </c>
      <c r="C90" s="166" t="n"/>
      <c r="D90" s="166" t="n"/>
      <c r="E90" s="166" t="n"/>
      <c r="F90" s="166" t="n"/>
      <c r="G90" s="166" t="n"/>
      <c r="H90" s="166" t="n"/>
      <c r="I90" s="166" t="n"/>
      <c r="J90" s="166" t="n"/>
      <c r="K90" s="166" t="n"/>
      <c r="L90" s="166" t="n"/>
      <c r="M90" s="166" t="n"/>
      <c r="N90" s="166" t="n"/>
      <c r="O90" s="166" t="n"/>
      <c r="P90" s="166" t="n"/>
    </row>
    <row r="91" ht="16" customHeight="1" s="121">
      <c r="B91" s="51" t="inlineStr">
        <is>
          <t>• Bookings rows pull from 04_Bookings_Inputs with 60-day cash conversion lag</t>
        </is>
      </c>
      <c r="C91" s="166" t="n"/>
      <c r="D91" s="166" t="n"/>
      <c r="E91" s="166" t="n"/>
      <c r="F91" s="166" t="n"/>
      <c r="G91" s="166" t="n"/>
      <c r="H91" s="166" t="n"/>
      <c r="I91" s="166" t="n"/>
      <c r="J91" s="166" t="n"/>
      <c r="K91" s="166" t="n"/>
      <c r="L91" s="166" t="n"/>
      <c r="M91" s="166" t="n"/>
      <c r="N91" s="166" t="n"/>
      <c r="O91" s="166" t="n"/>
      <c r="P91" s="166" t="n"/>
    </row>
    <row r="92" ht="16" customHeight="1" s="121">
      <c r="B92" s="51" t="inlineStr"/>
      <c r="C92" s="166" t="n"/>
      <c r="D92" s="166" t="n"/>
      <c r="E92" s="166" t="n"/>
      <c r="F92" s="166" t="n"/>
      <c r="G92" s="166" t="n"/>
      <c r="H92" s="166" t="n"/>
      <c r="I92" s="166" t="n"/>
      <c r="J92" s="166" t="n"/>
      <c r="K92" s="166" t="n"/>
      <c r="L92" s="166" t="n"/>
      <c r="M92" s="166" t="n"/>
      <c r="N92" s="166" t="n"/>
      <c r="O92" s="166" t="n"/>
      <c r="P92" s="166" t="n"/>
    </row>
    <row r="93" ht="16" customHeight="1" s="121">
      <c r="B93" s="35" t="inlineStr">
        <is>
          <t>Helper table per-person logic:</t>
        </is>
      </c>
      <c r="C93" s="166" t="n"/>
      <c r="D93" s="166" t="n"/>
      <c r="E93" s="166" t="n"/>
      <c r="F93" s="166" t="n"/>
      <c r="G93" s="166" t="n"/>
      <c r="H93" s="166" t="n"/>
      <c r="I93" s="166" t="n"/>
      <c r="J93" s="166" t="n"/>
      <c r="K93" s="166" t="n"/>
      <c r="L93" s="166" t="n"/>
      <c r="M93" s="166" t="n"/>
      <c r="N93" s="166" t="n"/>
      <c r="O93" s="166" t="n"/>
      <c r="P93" s="166" t="n"/>
    </row>
    <row r="94" ht="16" customHeight="1" s="121">
      <c r="B94" s="51" t="inlineStr">
        <is>
          <t>• Term Wk Idx = CEILING((Term Date - 2026-05-10) / 7) → maps a date to its forecast week (1-34)</t>
        </is>
      </c>
      <c r="C94" s="166" t="n"/>
      <c r="D94" s="166" t="n"/>
      <c r="E94" s="166" t="n"/>
      <c r="F94" s="166" t="n"/>
      <c r="G94" s="166" t="n"/>
      <c r="H94" s="166" t="n"/>
      <c r="I94" s="166" t="n"/>
      <c r="J94" s="166" t="n"/>
      <c r="K94" s="166" t="n"/>
      <c r="L94" s="166" t="n"/>
      <c r="M94" s="166" t="n"/>
      <c r="N94" s="166" t="n"/>
      <c r="O94" s="166" t="n"/>
      <c r="P94" s="166" t="n"/>
    </row>
    <row r="95" ht="16" customHeight="1" s="121">
      <c r="B95" s="51" t="inlineStr">
        <is>
          <t>• Weekly Saving = Fully Loaded ÷ 52 (zero if tranche = None)</t>
        </is>
      </c>
      <c r="C95" s="166" t="n"/>
      <c r="D95" s="166" t="n"/>
      <c r="E95" s="166" t="n"/>
      <c r="F95" s="166" t="n"/>
      <c r="G95" s="166" t="n"/>
      <c r="H95" s="166" t="n"/>
      <c r="I95" s="166" t="n"/>
      <c r="J95" s="166" t="n"/>
      <c r="K95" s="166" t="n"/>
      <c r="L95" s="166" t="n"/>
      <c r="M95" s="166" t="n"/>
      <c r="N95" s="166" t="n"/>
      <c r="O95" s="166" t="n"/>
      <c r="P95" s="166" t="n"/>
    </row>
    <row r="96" ht="16" customHeight="1" s="121">
      <c r="B96" s="51" t="inlineStr">
        <is>
          <t>• Severance $ = Base Salary × Weeks ÷ 52</t>
        </is>
      </c>
      <c r="C96" s="166" t="n"/>
      <c r="D96" s="166" t="n"/>
      <c r="E96" s="166" t="n"/>
      <c r="F96" s="166" t="n"/>
      <c r="G96" s="166" t="n"/>
      <c r="H96" s="166" t="n"/>
      <c r="I96" s="166" t="n"/>
      <c r="J96" s="166" t="n"/>
      <c r="K96" s="166" t="n"/>
      <c r="L96" s="166" t="n"/>
      <c r="M96" s="166" t="n"/>
      <c r="N96" s="166" t="n"/>
      <c r="O96" s="166" t="n"/>
      <c r="P96" s="166" t="n"/>
    </row>
    <row r="97" ht="16" customHeight="1" s="121">
      <c r="B97" s="35" t="inlineStr">
        <is>
          <t>• Savings Start Week:</t>
        </is>
      </c>
      <c r="C97" s="166" t="n"/>
      <c r="D97" s="166" t="n"/>
      <c r="E97" s="166" t="n"/>
      <c r="F97" s="166" t="n"/>
      <c r="G97" s="166" t="n"/>
      <c r="H97" s="166" t="n"/>
      <c r="I97" s="166" t="n"/>
      <c r="J97" s="166" t="n"/>
      <c r="K97" s="166" t="n"/>
      <c r="L97" s="166" t="n"/>
      <c r="M97" s="166" t="n"/>
      <c r="N97" s="166" t="n"/>
      <c r="O97" s="166" t="n"/>
      <c r="P97" s="166" t="n"/>
    </row>
    <row r="98" ht="16" customHeight="1" s="121">
      <c r="B98" s="167" t="inlineStr">
        <is>
          <t xml:space="preserve">     Spread mode → Term Wk + ROUNDUP(Weeks÷5) + 1  (savings start AFTER spread period)</t>
        </is>
      </c>
      <c r="C98" s="166" t="n"/>
      <c r="D98" s="166" t="n"/>
      <c r="E98" s="166" t="n"/>
      <c r="F98" s="166" t="n"/>
      <c r="G98" s="166" t="n"/>
      <c r="H98" s="166" t="n"/>
      <c r="I98" s="166" t="n"/>
      <c r="J98" s="166" t="n"/>
      <c r="K98" s="166" t="n"/>
      <c r="L98" s="166" t="n"/>
      <c r="M98" s="166" t="n"/>
      <c r="N98" s="166" t="n"/>
      <c r="O98" s="166" t="n"/>
      <c r="P98" s="166" t="n"/>
    </row>
    <row r="99" ht="16" customHeight="1" s="121">
      <c r="B99" s="167" t="inlineStr">
        <is>
          <t xml:space="preserve">     Lump mode → Term Wk + 1</t>
        </is>
      </c>
      <c r="C99" s="166" t="n"/>
      <c r="D99" s="166" t="n"/>
      <c r="E99" s="166" t="n"/>
      <c r="F99" s="166" t="n"/>
      <c r="G99" s="166" t="n"/>
      <c r="H99" s="166" t="n"/>
      <c r="I99" s="166" t="n"/>
      <c r="J99" s="166" t="n"/>
      <c r="K99" s="166" t="n"/>
      <c r="L99" s="166" t="n"/>
      <c r="M99" s="166" t="n"/>
      <c r="N99" s="166" t="n"/>
      <c r="O99" s="166" t="n"/>
      <c r="P99" s="166" t="n"/>
    </row>
    <row r="100" ht="16" customHeight="1" s="121">
      <c r="B100" s="167" t="inlineStr">
        <is>
          <t xml:space="preserve">     Czech-Notice → Term Wk + 23  (5-month notice = 22 weeks, savings start week after)</t>
        </is>
      </c>
      <c r="C100" s="166" t="n"/>
      <c r="D100" s="166" t="n"/>
      <c r="E100" s="166" t="n"/>
      <c r="F100" s="166" t="n"/>
      <c r="G100" s="166" t="n"/>
      <c r="H100" s="166" t="n"/>
      <c r="I100" s="166" t="n"/>
      <c r="J100" s="166" t="n"/>
      <c r="K100" s="166" t="n"/>
      <c r="L100" s="166" t="n"/>
      <c r="M100" s="166" t="n"/>
      <c r="N100" s="166" t="n"/>
      <c r="O100" s="166" t="n"/>
      <c r="P100" s="166" t="n"/>
    </row>
    <row r="101" ht="16" customHeight="1" s="121">
      <c r="B101" s="35" t="inlineStr">
        <is>
          <t>• Lump Severance Week:</t>
        </is>
      </c>
      <c r="C101" s="166" t="n"/>
      <c r="D101" s="166" t="n"/>
      <c r="E101" s="166" t="n"/>
      <c r="F101" s="166" t="n"/>
      <c r="G101" s="166" t="n"/>
      <c r="H101" s="166" t="n"/>
      <c r="I101" s="166" t="n"/>
      <c r="J101" s="166" t="n"/>
      <c r="K101" s="166" t="n"/>
      <c r="L101" s="166" t="n"/>
      <c r="M101" s="166" t="n"/>
      <c r="N101" s="166" t="n"/>
      <c r="O101" s="166" t="n"/>
      <c r="P101" s="166" t="n"/>
    </row>
    <row r="102" ht="16" customHeight="1" s="121">
      <c r="B102" s="167" t="inlineStr">
        <is>
          <t xml:space="preserve">     Spread → 0 (no separate severance event; person stays on normal payroll)</t>
        </is>
      </c>
      <c r="C102" s="166" t="n"/>
      <c r="D102" s="166" t="n"/>
      <c r="E102" s="166" t="n"/>
      <c r="F102" s="166" t="n"/>
      <c r="G102" s="166" t="n"/>
      <c r="H102" s="166" t="n"/>
      <c r="I102" s="166" t="n"/>
      <c r="J102" s="166" t="n"/>
      <c r="K102" s="166" t="n"/>
      <c r="L102" s="166" t="n"/>
      <c r="M102" s="166" t="n"/>
      <c r="N102" s="166" t="n"/>
      <c r="O102" s="166" t="n"/>
      <c r="P102" s="166" t="n"/>
    </row>
    <row r="103" ht="16" customHeight="1" s="121">
      <c r="B103" s="167" t="inlineStr">
        <is>
          <t xml:space="preserve">     Lump → Term Wk</t>
        </is>
      </c>
      <c r="C103" s="166" t="n"/>
      <c r="D103" s="166" t="n"/>
      <c r="E103" s="166" t="n"/>
      <c r="F103" s="166" t="n"/>
      <c r="G103" s="166" t="n"/>
      <c r="H103" s="166" t="n"/>
      <c r="I103" s="166" t="n"/>
      <c r="J103" s="166" t="n"/>
      <c r="K103" s="166" t="n"/>
      <c r="L103" s="166" t="n"/>
      <c r="M103" s="166" t="n"/>
      <c r="N103" s="166" t="n"/>
      <c r="O103" s="166" t="n"/>
      <c r="P103" s="166" t="n"/>
    </row>
    <row r="104" ht="16" customHeight="1" s="121">
      <c r="B104" s="167" t="inlineStr">
        <is>
          <t xml:space="preserve">     Czech-Notice → Term Wk + 22</t>
        </is>
      </c>
      <c r="C104" s="166" t="n"/>
      <c r="D104" s="166" t="n"/>
      <c r="E104" s="166" t="n"/>
      <c r="F104" s="166" t="n"/>
      <c r="G104" s="166" t="n"/>
      <c r="H104" s="166" t="n"/>
      <c r="I104" s="166" t="n"/>
      <c r="J104" s="166" t="n"/>
      <c r="K104" s="166" t="n"/>
      <c r="L104" s="166" t="n"/>
      <c r="M104" s="166" t="n"/>
      <c r="N104" s="166" t="n"/>
      <c r="O104" s="166" t="n"/>
      <c r="P104" s="166" t="n"/>
    </row>
    <row r="105" ht="16" customHeight="1" s="121">
      <c r="B105" s="51" t="inlineStr"/>
      <c r="C105" s="166" t="n"/>
      <c r="D105" s="166" t="n"/>
      <c r="E105" s="166" t="n"/>
      <c r="F105" s="166" t="n"/>
      <c r="G105" s="166" t="n"/>
      <c r="H105" s="166" t="n"/>
      <c r="I105" s="166" t="n"/>
      <c r="J105" s="166" t="n"/>
      <c r="K105" s="166" t="n"/>
      <c r="L105" s="166" t="n"/>
      <c r="M105" s="166" t="n"/>
      <c r="N105" s="166" t="n"/>
      <c r="O105" s="166" t="n"/>
      <c r="P105" s="166" t="n"/>
    </row>
    <row r="106" ht="16" customHeight="1" s="121">
      <c r="B106" s="35" t="inlineStr">
        <is>
          <t>Why this design:</t>
        </is>
      </c>
      <c r="C106" s="166" t="n"/>
      <c r="D106" s="166" t="n"/>
      <c r="E106" s="166" t="n"/>
      <c r="F106" s="166" t="n"/>
      <c r="G106" s="166" t="n"/>
      <c r="H106" s="166" t="n"/>
      <c r="I106" s="166" t="n"/>
      <c r="J106" s="166" t="n"/>
      <c r="K106" s="166" t="n"/>
      <c r="L106" s="166" t="n"/>
      <c r="M106" s="166" t="n"/>
      <c r="N106" s="166" t="n"/>
      <c r="O106" s="166" t="n"/>
      <c r="P106" s="166" t="n"/>
    </row>
    <row r="107" ht="16" customHeight="1" s="121">
      <c r="B107" s="51" t="inlineStr">
        <is>
          <t>• All array math uses boolean multiplication (1/0) — no IF inside SUMPRODUCT.</t>
        </is>
      </c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</row>
    <row r="108" ht="16" customHeight="1" s="121">
      <c r="B108" s="51" t="inlineStr">
        <is>
          <t>• This works identically in Excel and Google Sheets (no __xludf.DUMMYFUNCTION errors).</t>
        </is>
      </c>
      <c r="C108" s="166" t="n"/>
      <c r="D108" s="166" t="n"/>
      <c r="E108" s="166" t="n"/>
      <c r="F108" s="166" t="n"/>
      <c r="G108" s="166" t="n"/>
      <c r="H108" s="166" t="n"/>
      <c r="I108" s="166" t="n"/>
      <c r="J108" s="166" t="n"/>
      <c r="K108" s="166" t="n"/>
      <c r="L108" s="166" t="n"/>
      <c r="M108" s="166" t="n"/>
      <c r="N108" s="166" t="n"/>
      <c r="O108" s="166" t="n"/>
      <c r="P108" s="166" t="n"/>
    </row>
    <row r="109" ht="16" customHeight="1" s="121">
      <c r="B109" s="51" t="inlineStr">
        <is>
          <t>• Every value traces back to inputs on the other sheets — change any input and this recalcs.</t>
        </is>
      </c>
      <c r="C109" s="166" t="n"/>
      <c r="D109" s="166" t="n"/>
      <c r="E109" s="166" t="n"/>
      <c r="F109" s="166" t="n"/>
      <c r="G109" s="166" t="n"/>
      <c r="H109" s="166" t="n"/>
      <c r="I109" s="166" t="n"/>
      <c r="J109" s="166" t="n"/>
      <c r="K109" s="166" t="n"/>
      <c r="L109" s="166" t="n"/>
      <c r="M109" s="166" t="n"/>
      <c r="N109" s="166" t="n"/>
      <c r="O109" s="166" t="n"/>
      <c r="P109" s="166" t="n"/>
    </row>
    <row r="110" ht="16" customHeight="1" s="121">
      <c r="B110" s="51" t="inlineStr">
        <is>
          <t>• Helper table makes the math auditable: you can see each person's start/end weeks directly.</t>
        </is>
      </c>
      <c r="C110" s="166" t="n"/>
      <c r="D110" s="166" t="n"/>
      <c r="E110" s="166" t="n"/>
      <c r="F110" s="166" t="n"/>
      <c r="G110" s="166" t="n"/>
      <c r="H110" s="166" t="n"/>
      <c r="I110" s="166" t="n"/>
      <c r="J110" s="166" t="n"/>
      <c r="K110" s="166" t="n"/>
      <c r="L110" s="166" t="n"/>
      <c r="M110" s="166" t="n"/>
      <c r="N110" s="166" t="n"/>
      <c r="O110" s="166" t="n"/>
      <c r="P110" s="166" t="n"/>
    </row>
  </sheetData>
  <mergeCells count="30">
    <mergeCell ref="B2:P2"/>
    <mergeCell ref="B98:P98"/>
    <mergeCell ref="B107:P107"/>
    <mergeCell ref="B1:P1"/>
    <mergeCell ref="B101:P101"/>
    <mergeCell ref="B88:P88"/>
    <mergeCell ref="B87:P87"/>
    <mergeCell ref="B103:P103"/>
    <mergeCell ref="B99:P99"/>
    <mergeCell ref="B108:P108"/>
    <mergeCell ref="B40:P40"/>
    <mergeCell ref="B92:P92"/>
    <mergeCell ref="B95:P95"/>
    <mergeCell ref="B89:P89"/>
    <mergeCell ref="B104:P104"/>
    <mergeCell ref="B94:P94"/>
    <mergeCell ref="B110:P110"/>
    <mergeCell ref="B85:P85"/>
    <mergeCell ref="B41:P41"/>
    <mergeCell ref="B97:P97"/>
    <mergeCell ref="B100:P100"/>
    <mergeCell ref="B106:P106"/>
    <mergeCell ref="B91:P91"/>
    <mergeCell ref="B109:P109"/>
    <mergeCell ref="B90:P90"/>
    <mergeCell ref="B102:P102"/>
    <mergeCell ref="B93:P93"/>
    <mergeCell ref="B96:P96"/>
    <mergeCell ref="B105:P105"/>
    <mergeCell ref="B86:P86"/>
  </mergeCells>
  <conditionalFormatting sqref="O5:O38">
    <cfRule type="cellIs" priority="1" operator="lessThan" dxfId="6">
      <formula>500000</formula>
    </cfRule>
    <cfRule type="cellIs" priority="2" operator="between" dxfId="7">
      <formula>500000</formula>
      <formula>1000000</formula>
    </cfRule>
    <cfRule type="cellIs" priority="3" operator="greaterThan" dxfId="8">
      <formula>2500000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AA8BD"/>
    <outlinePr summaryBelow="1" summaryRight="1"/>
    <pageSetUpPr/>
  </sheetPr>
  <dimension ref="B1:F18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121" min="1" max="1"/>
    <col width="32" customWidth="1" style="121" min="2" max="2"/>
    <col width="18" customWidth="1" style="121" min="3" max="3"/>
    <col width="36" customWidth="1" style="121" min="4" max="4"/>
    <col width="12" customWidth="1" style="121" min="5" max="5"/>
    <col width="32" customWidth="1" style="121" min="6" max="6"/>
    <col width="8.859999999999999" customWidth="1" style="121" min="7" max="26"/>
  </cols>
  <sheetData>
    <row r="1" ht="25.5" customHeight="1" s="121">
      <c r="B1" s="122" t="inlineStr">
        <is>
          <t>AUDIT TRAIL — ASSUMPTIONS, SOURCES, CONFIDENCE</t>
        </is>
      </c>
      <c r="C1" s="123" t="n"/>
      <c r="D1" s="123" t="n"/>
      <c r="E1" s="123" t="n"/>
      <c r="F1" s="124" t="n"/>
    </row>
    <row r="2" ht="18" customHeight="1" s="121">
      <c r="B2" s="140" t="inlineStr">
        <is>
          <t>Every input documented with origin</t>
        </is>
      </c>
      <c r="C2" s="123" t="n"/>
      <c r="D2" s="123" t="n"/>
      <c r="E2" s="123" t="n"/>
      <c r="F2" s="124" t="n"/>
    </row>
    <row r="4" ht="24" customHeight="1" s="121">
      <c r="B4" s="60" t="inlineStr">
        <is>
          <t>Assumption</t>
        </is>
      </c>
      <c r="C4" s="60" t="inlineStr">
        <is>
          <t>Value</t>
        </is>
      </c>
      <c r="D4" s="60" t="inlineStr">
        <is>
          <t>Source</t>
        </is>
      </c>
      <c r="E4" s="60" t="inlineStr">
        <is>
          <t>Confidence</t>
        </is>
      </c>
      <c r="F4" s="60" t="inlineStr">
        <is>
          <t>Notes</t>
        </is>
      </c>
    </row>
    <row r="5" ht="24" customHeight="1" s="121">
      <c r="B5" s="35" t="inlineStr">
        <is>
          <t>Finance Baseline cash path</t>
        </is>
      </c>
      <c r="C5" s="51" t="inlineStr">
        <is>
          <t>Weekly W20-W53</t>
        </is>
      </c>
      <c r="D5" s="51" t="inlineStr">
        <is>
          <t>Class Cash Forecast as of May 10 2026.xlsx</t>
        </is>
      </c>
      <c r="E5" s="119" t="inlineStr">
        <is>
          <t>HIGH</t>
        </is>
      </c>
      <c r="F5" s="92" t="inlineStr">
        <is>
          <t>Verified W30 trough = $111,766 = board deck $0.1M</t>
        </is>
      </c>
    </row>
    <row r="6" ht="24" customHeight="1" s="121">
      <c r="B6" s="37" t="inlineStr">
        <is>
          <t>Per-employee Base Salary</t>
        </is>
      </c>
      <c r="C6" s="76" t="inlineStr">
        <is>
          <t>See 02_Severance_Inputs</t>
        </is>
      </c>
      <c r="D6" s="76" t="inlineStr">
        <is>
          <t>GTM Source of Truth Org Roster CSV</t>
        </is>
      </c>
      <c r="E6" s="119" t="inlineStr">
        <is>
          <t>HIGH</t>
        </is>
      </c>
      <c r="F6" s="93" t="inlineStr">
        <is>
          <t>41 employees, March 19 2026</t>
        </is>
      </c>
    </row>
    <row r="7" ht="24" customHeight="1" s="121">
      <c r="B7" s="35" t="inlineStr">
        <is>
          <t>Per-employee Fully Loaded</t>
        </is>
      </c>
      <c r="C7" s="51" t="inlineStr">
        <is>
          <t>See 02_Severance_Inputs</t>
        </is>
      </c>
      <c r="D7" s="51" t="inlineStr">
        <is>
          <t>GTM Source of Truth Org Roster CSV</t>
        </is>
      </c>
      <c r="E7" s="119" t="inlineStr">
        <is>
          <t>HIGH</t>
        </is>
      </c>
      <c r="F7" s="92" t="inlineStr">
        <is>
          <t>Includes base+bonus+benefits+commissions+taxes</t>
        </is>
      </c>
    </row>
    <row r="8" ht="24" customHeight="1" s="121">
      <c r="B8" s="37" t="inlineStr">
        <is>
          <t>Severance formula</t>
        </is>
      </c>
      <c r="C8" s="76" t="inlineStr">
        <is>
          <t>Base × Weeks / 52</t>
        </is>
      </c>
      <c r="D8" s="76" t="inlineStr">
        <is>
          <t>CFO policy: 2-12 weeks by tenure/seniority</t>
        </is>
      </c>
      <c r="E8" s="119" t="inlineStr">
        <is>
          <t>HIGH</t>
        </is>
      </c>
      <c r="F8" s="93" t="inlineStr">
        <is>
          <t>Per CFO live answer 5/18/2026</t>
        </is>
      </c>
    </row>
    <row r="9" ht="24" customHeight="1" s="121">
      <c r="B9" s="35" t="inlineStr">
        <is>
          <t>Severance mode default</t>
        </is>
      </c>
      <c r="C9" s="51" t="inlineStr">
        <is>
          <t>Spread (where legal)</t>
        </is>
      </c>
      <c r="D9" s="51" t="inlineStr">
        <is>
          <t>CFO policy</t>
        </is>
      </c>
      <c r="E9" s="119" t="inlineStr">
        <is>
          <t>HIGH</t>
        </is>
      </c>
      <c r="F9" s="92" t="inlineStr">
        <is>
          <t>Spread = stays on payroll W weeks → no immediate cash benefit</t>
        </is>
      </c>
    </row>
    <row r="10" ht="24" customHeight="1" s="121">
      <c r="B10" s="37" t="inlineStr">
        <is>
          <t>Czech 5-month notice</t>
        </is>
      </c>
      <c r="C10" s="76" t="inlineStr">
        <is>
          <t>Already in baseline payroll</t>
        </is>
      </c>
      <c r="D10" s="76" t="inlineStr">
        <is>
          <t>Board deck slide 32 + CFO confirmation</t>
        </is>
      </c>
      <c r="E10" s="119" t="inlineStr">
        <is>
          <t>HIGH</t>
        </is>
      </c>
      <c r="F10" s="93" t="inlineStr">
        <is>
          <t>Cash savings begin Oct 31, 2026</t>
        </is>
      </c>
    </row>
    <row r="11" ht="24" customHeight="1" s="121">
      <c r="B11" s="35" t="inlineStr">
        <is>
          <t>Cash interest run rate</t>
        </is>
      </c>
      <c r="C11" s="51" t="inlineStr">
        <is>
          <t>$240K/mo (in baseline)</t>
        </is>
      </c>
      <c r="D11" s="51" t="inlineStr">
        <is>
          <t>NS GL Acct 6750 avg Nov 25 - Apr 26</t>
        </is>
      </c>
      <c r="E11" s="119" t="inlineStr">
        <is>
          <t>HIGH</t>
        </is>
      </c>
      <c r="F11" s="92" t="inlineStr">
        <is>
          <t>Already reflected in finance forecast</t>
        </is>
      </c>
    </row>
    <row r="12" ht="24" customHeight="1" s="121">
      <c r="B12" s="37" t="inlineStr">
        <is>
          <t>AWS forecast (Finance)</t>
        </is>
      </c>
      <c r="C12" s="76" t="inlineStr">
        <is>
          <t>$2.48M over 7.5 months</t>
        </is>
      </c>
      <c r="D12" s="76" t="inlineStr">
        <is>
          <t>Class Cash Forecast XLSX row 22</t>
        </is>
      </c>
      <c r="E12" s="119" t="inlineStr">
        <is>
          <t>HIGH</t>
        </is>
      </c>
      <c r="F12" s="93" t="inlineStr">
        <is>
          <t>Declining trajectory $317K→$226K shows ICS savings baked in</t>
        </is>
      </c>
    </row>
    <row r="13" ht="24" customHeight="1" s="121">
      <c r="B13" s="35" t="inlineStr">
        <is>
          <t>AWS additional savings potential</t>
        </is>
      </c>
      <c r="C13" s="51" t="inlineStr">
        <is>
          <t>~$23-30K/mo</t>
        </is>
      </c>
      <c r="D13" s="51" t="inlineStr">
        <is>
          <t>Estimated levers (dev shutoff, S3 lifecycle)</t>
        </is>
      </c>
      <c r="E13" s="120" t="inlineStr">
        <is>
          <t>MED</t>
        </is>
      </c>
      <c r="F13" s="92" t="inlineStr">
        <is>
          <t>Modest July benefit; not transformational</t>
        </is>
      </c>
    </row>
    <row r="14" ht="24" customHeight="1" s="121">
      <c r="B14" s="37" t="inlineStr">
        <is>
          <t>Q2 Bookings (CoSo)</t>
        </is>
      </c>
      <c r="C14" s="76" t="inlineStr">
        <is>
          <t>$350K</t>
        </is>
      </c>
      <c r="D14" s="76" t="inlineStr">
        <is>
          <t>Russell projection 5/18/2026</t>
        </is>
      </c>
      <c r="E14" s="120" t="inlineStr">
        <is>
          <t>MED</t>
        </is>
      </c>
      <c r="F14" s="93" t="inlineStr">
        <is>
          <t>Cash arrives 60 days post-close = Aug-Sep</t>
        </is>
      </c>
    </row>
    <row r="15" ht="24" customHeight="1" s="121">
      <c r="B15" s="35" t="inlineStr">
        <is>
          <t>Q2 Bookings (Class)</t>
        </is>
      </c>
      <c r="C15" s="51" t="inlineStr">
        <is>
          <t>$350K</t>
        </is>
      </c>
      <c r="D15" s="51" t="inlineStr">
        <is>
          <t>Russell projection 5/18/2026</t>
        </is>
      </c>
      <c r="E15" s="120" t="inlineStr">
        <is>
          <t>MED</t>
        </is>
      </c>
      <c r="F15" s="92" t="inlineStr">
        <is>
          <t>Cash arrives 60 days post-close = Aug-Sep</t>
        </is>
      </c>
    </row>
    <row r="16" ht="24" customHeight="1" s="121">
      <c r="B16" s="37" t="inlineStr">
        <is>
          <t>NS variance — Software subs</t>
        </is>
      </c>
      <c r="C16" s="76" t="inlineStr">
        <is>
          <t>$75K potential buffer</t>
        </is>
      </c>
      <c r="D16" s="76" t="inlineStr">
        <is>
          <t>NS GL Acct 6303 vs Finance forecast</t>
        </is>
      </c>
      <c r="E16" s="119" t="inlineStr">
        <is>
          <t>HIGH</t>
        </is>
      </c>
      <c r="F16" s="93" t="inlineStr">
        <is>
          <t>NS Apr $86K vs Finance projecting ~$195K avg</t>
        </is>
      </c>
    </row>
    <row r="17" ht="24" customHeight="1" s="121">
      <c r="B17" s="35" t="inlineStr">
        <is>
          <t>NS variance — Salary expense</t>
        </is>
      </c>
      <c r="C17" s="51" t="inlineStr">
        <is>
          <t>$175K potential buffer</t>
        </is>
      </c>
      <c r="D17" s="51" t="inlineStr">
        <is>
          <t>NS GL Acct 6101 L3M vs Finance Payroll</t>
        </is>
      </c>
      <c r="E17" s="120" t="inlineStr">
        <is>
          <t>MED</t>
        </is>
      </c>
      <c r="F17" s="92" t="inlineStr">
        <is>
          <t>Partly timing, partly recent departures</t>
        </is>
      </c>
    </row>
    <row r="18" ht="24" customHeight="1" s="121">
      <c r="B18" s="37" t="inlineStr">
        <is>
          <t>NS variance — Hosting</t>
        </is>
      </c>
      <c r="C18" s="76" t="inlineStr">
        <is>
          <t>-$129K/mo DOWNSIDE</t>
        </is>
      </c>
      <c r="D18" s="76" t="inlineStr">
        <is>
          <t>NS GL Acct 5002+5008 vs Finance AWS</t>
        </is>
      </c>
      <c r="E18" s="119" t="inlineStr">
        <is>
          <t>HIGH</t>
        </is>
      </c>
      <c r="F18" s="93" t="inlineStr">
        <is>
          <t>NS actuals HIGHER than Finance — ICS savings not yet fully in NS</t>
        </is>
      </c>
    </row>
    <row r="21" ht="15.75" customHeight="1" s="121"/>
    <row r="22" ht="15.75" customHeight="1" s="121"/>
    <row r="23" ht="15.75" customHeight="1" s="121"/>
    <row r="24" ht="15.75" customHeight="1" s="121"/>
    <row r="25" ht="15.75" customHeight="1" s="121"/>
    <row r="26" ht="15.75" customHeight="1" s="121"/>
    <row r="27" ht="15.75" customHeight="1" s="121"/>
    <row r="28" ht="15.75" customHeight="1" s="121"/>
    <row r="29" ht="15.75" customHeight="1" s="121"/>
    <row r="30" ht="15.75" customHeight="1" s="121"/>
    <row r="31" ht="15.75" customHeight="1" s="121"/>
    <row r="32" ht="15.75" customHeight="1" s="121"/>
    <row r="33" ht="15.75" customHeight="1" s="121"/>
    <row r="34" ht="15.75" customHeight="1" s="121"/>
    <row r="35" ht="15.75" customHeight="1" s="121"/>
    <row r="36" ht="15.75" customHeight="1" s="121"/>
    <row r="37" ht="15.75" customHeight="1" s="121"/>
    <row r="38" ht="15.75" customHeight="1" s="121"/>
    <row r="39" ht="15.75" customHeight="1" s="121"/>
    <row r="40" ht="15.75" customHeight="1" s="121"/>
    <row r="41" ht="15.75" customHeight="1" s="121"/>
    <row r="42" ht="15.75" customHeight="1" s="121"/>
    <row r="43" ht="15.75" customHeight="1" s="121"/>
    <row r="44" ht="15.75" customHeight="1" s="121"/>
    <row r="45" ht="15.75" customHeight="1" s="121"/>
    <row r="46" ht="15.75" customHeight="1" s="121"/>
    <row r="47" ht="15.75" customHeight="1" s="121"/>
    <row r="48" ht="15.75" customHeight="1" s="121"/>
    <row r="49" ht="15.75" customHeight="1" s="121"/>
    <row r="50" ht="15.75" customHeight="1" s="121"/>
    <row r="51" ht="15.75" customHeight="1" s="121"/>
    <row r="52" ht="15.75" customHeight="1" s="121"/>
    <row r="53" ht="15.75" customHeight="1" s="121"/>
    <row r="54" ht="15.75" customHeight="1" s="121"/>
    <row r="55" ht="15.75" customHeight="1" s="121"/>
    <row r="56" ht="15.75" customHeight="1" s="121"/>
    <row r="57" ht="15.75" customHeight="1" s="121"/>
    <row r="58" ht="15.75" customHeight="1" s="121"/>
    <row r="59" ht="15.75" customHeight="1" s="121"/>
    <row r="60" ht="15.75" customHeight="1" s="121"/>
    <row r="61" ht="15.75" customHeight="1" s="121"/>
    <row r="62" ht="15.75" customHeight="1" s="121"/>
    <row r="63" ht="15.75" customHeight="1" s="121"/>
    <row r="64" ht="15.75" customHeight="1" s="121"/>
    <row r="65" ht="15.75" customHeight="1" s="121"/>
    <row r="66" ht="15.75" customHeight="1" s="121"/>
    <row r="67" ht="15.75" customHeight="1" s="121"/>
    <row r="68" ht="15.75" customHeight="1" s="121"/>
    <row r="69" ht="15.75" customHeight="1" s="121"/>
    <row r="70" ht="15.75" customHeight="1" s="121"/>
    <row r="71" ht="15.75" customHeight="1" s="121"/>
    <row r="72" ht="15.75" customHeight="1" s="121"/>
    <row r="73" ht="15.75" customHeight="1" s="121"/>
    <row r="74" ht="15.75" customHeight="1" s="121"/>
    <row r="75" ht="15.75" customHeight="1" s="121"/>
    <row r="76" ht="15.75" customHeight="1" s="121"/>
    <row r="77" ht="15.75" customHeight="1" s="121"/>
    <row r="78" ht="15.75" customHeight="1" s="121"/>
    <row r="79" ht="15.75" customHeight="1" s="121"/>
    <row r="80" ht="15.75" customHeight="1" s="121"/>
    <row r="81" ht="15.75" customHeight="1" s="121"/>
    <row r="82" ht="15.75" customHeight="1" s="121"/>
    <row r="83" ht="15.75" customHeight="1" s="121"/>
    <row r="84" ht="15.75" customHeight="1" s="121"/>
    <row r="85" ht="15.75" customHeight="1" s="121"/>
    <row r="86" ht="15.75" customHeight="1" s="121"/>
    <row r="87" ht="15.75" customHeight="1" s="121"/>
    <row r="88" ht="15.75" customHeight="1" s="121"/>
    <row r="89" ht="15.75" customHeight="1" s="121"/>
    <row r="90" ht="15.75" customHeight="1" s="121"/>
    <row r="91" ht="15.75" customHeight="1" s="121"/>
    <row r="92" ht="15.75" customHeight="1" s="121"/>
    <row r="93" ht="15.75" customHeight="1" s="121"/>
    <row r="94" ht="15.75" customHeight="1" s="121"/>
    <row r="95" ht="15.75" customHeight="1" s="121"/>
    <row r="96" ht="15.75" customHeight="1" s="121"/>
    <row r="97" ht="15.75" customHeight="1" s="121"/>
    <row r="98" ht="15.75" customHeight="1" s="121"/>
    <row r="99" ht="15.75" customHeight="1" s="121"/>
    <row r="100" ht="15.75" customHeight="1" s="121"/>
    <row r="101" ht="15.75" customHeight="1" s="121"/>
    <row r="102" ht="15.75" customHeight="1" s="121"/>
    <row r="103" ht="15.75" customHeight="1" s="121"/>
    <row r="104" ht="15.75" customHeight="1" s="121"/>
    <row r="105" ht="15.75" customHeight="1" s="121"/>
    <row r="106" ht="15.75" customHeight="1" s="121"/>
    <row r="107" ht="15.75" customHeight="1" s="121"/>
    <row r="108" ht="15.75" customHeight="1" s="121"/>
    <row r="109" ht="15.75" customHeight="1" s="121"/>
    <row r="110" ht="15.75" customHeight="1" s="121"/>
    <row r="111" ht="15.75" customHeight="1" s="121"/>
    <row r="112" ht="15.75" customHeight="1" s="121"/>
    <row r="113" ht="15.75" customHeight="1" s="121"/>
    <row r="114" ht="15.75" customHeight="1" s="121"/>
    <row r="115" ht="15.75" customHeight="1" s="121"/>
    <row r="116" ht="15.75" customHeight="1" s="121"/>
    <row r="117" ht="15.75" customHeight="1" s="121"/>
    <row r="118" ht="15.75" customHeight="1" s="121"/>
    <row r="119" ht="15.75" customHeight="1" s="121"/>
    <row r="120" ht="15.75" customHeight="1" s="121"/>
    <row r="121" ht="15.75" customHeight="1" s="121"/>
    <row r="122" ht="15.75" customHeight="1" s="121"/>
    <row r="123" ht="15.75" customHeight="1" s="121"/>
    <row r="124" ht="15.75" customHeight="1" s="121"/>
    <row r="125" ht="15.75" customHeight="1" s="121"/>
    <row r="126" ht="15.75" customHeight="1" s="121"/>
    <row r="127" ht="15.75" customHeight="1" s="121"/>
    <row r="128" ht="15.75" customHeight="1" s="121"/>
    <row r="129" ht="15.75" customHeight="1" s="121"/>
    <row r="130" ht="15.75" customHeight="1" s="121"/>
    <row r="131" ht="15.75" customHeight="1" s="121"/>
    <row r="132" ht="15.75" customHeight="1" s="121"/>
    <row r="133" ht="15.75" customHeight="1" s="121"/>
    <row r="134" ht="15.75" customHeight="1" s="121"/>
    <row r="135" ht="15.75" customHeight="1" s="121"/>
    <row r="136" ht="15.75" customHeight="1" s="121"/>
    <row r="137" ht="15.75" customHeight="1" s="121"/>
    <row r="138" ht="15.75" customHeight="1" s="121"/>
    <row r="139" ht="15.75" customHeight="1" s="121"/>
    <row r="140" ht="15.75" customHeight="1" s="121"/>
    <row r="141" ht="15.75" customHeight="1" s="121"/>
    <row r="142" ht="15.75" customHeight="1" s="121"/>
    <row r="143" ht="15.75" customHeight="1" s="121"/>
    <row r="144" ht="15.75" customHeight="1" s="121"/>
    <row r="145" ht="15.75" customHeight="1" s="121"/>
    <row r="146" ht="15.75" customHeight="1" s="121"/>
    <row r="147" ht="15.75" customHeight="1" s="121"/>
    <row r="148" ht="15.75" customHeight="1" s="121"/>
    <row r="149" ht="15.75" customHeight="1" s="121"/>
    <row r="150" ht="15.75" customHeight="1" s="121"/>
    <row r="151" ht="15.75" customHeight="1" s="121"/>
    <row r="152" ht="15.75" customHeight="1" s="121"/>
    <row r="153" ht="15.75" customHeight="1" s="121"/>
    <row r="154" ht="15.75" customHeight="1" s="121"/>
    <row r="155" ht="15.75" customHeight="1" s="121"/>
    <row r="156" ht="15.75" customHeight="1" s="121"/>
    <row r="157" ht="15.75" customHeight="1" s="121"/>
    <row r="158" ht="15.75" customHeight="1" s="121"/>
    <row r="159" ht="15.75" customHeight="1" s="121"/>
    <row r="160" ht="15.75" customHeight="1" s="121"/>
    <row r="161" ht="15.75" customHeight="1" s="121"/>
    <row r="162" ht="15.75" customHeight="1" s="121"/>
    <row r="163" ht="15.75" customHeight="1" s="121"/>
    <row r="164" ht="15.75" customHeight="1" s="121"/>
    <row r="165" ht="15.75" customHeight="1" s="121"/>
    <row r="166" ht="15.75" customHeight="1" s="121"/>
    <row r="167" ht="15.75" customHeight="1" s="121"/>
    <row r="168" ht="15.75" customHeight="1" s="121"/>
    <row r="169" ht="15.75" customHeight="1" s="121"/>
    <row r="170" ht="15.75" customHeight="1" s="121"/>
    <row r="171" ht="15.75" customHeight="1" s="121"/>
    <row r="172" ht="15.75" customHeight="1" s="121"/>
    <row r="173" ht="15.75" customHeight="1" s="121"/>
    <row r="174" ht="15.75" customHeight="1" s="121"/>
    <row r="175" ht="15.75" customHeight="1" s="121"/>
    <row r="176" ht="15.75" customHeight="1" s="121"/>
    <row r="177" ht="15.75" customHeight="1" s="121"/>
    <row r="178" ht="15.75" customHeight="1" s="121"/>
    <row r="179" ht="15.75" customHeight="1" s="121"/>
    <row r="180" ht="15.75" customHeight="1" s="121"/>
    <row r="181" ht="15.75" customHeight="1" s="121"/>
    <row r="182" ht="15.75" customHeight="1" s="121"/>
    <row r="183" ht="15.75" customHeight="1" s="121"/>
    <row r="184" ht="15.75" customHeight="1" s="121"/>
    <row r="185" ht="15.75" customHeight="1" s="121"/>
    <row r="186" ht="15.75" customHeight="1" s="121"/>
    <row r="187" ht="15.75" customHeight="1" s="121"/>
    <row r="188" ht="15.75" customHeight="1" s="121"/>
    <row r="189" ht="15.75" customHeight="1" s="121"/>
    <row r="190" ht="15.75" customHeight="1" s="121"/>
    <row r="191" ht="15.75" customHeight="1" s="121"/>
    <row r="192" ht="15.75" customHeight="1" s="121"/>
    <row r="193" ht="15.75" customHeight="1" s="121"/>
    <row r="194" ht="15.75" customHeight="1" s="121"/>
    <row r="195" ht="15.75" customHeight="1" s="121"/>
    <row r="196" ht="15.75" customHeight="1" s="121"/>
    <row r="197" ht="15.75" customHeight="1" s="121"/>
    <row r="198" ht="15.75" customHeight="1" s="121"/>
    <row r="199" ht="15.75" customHeight="1" s="121"/>
    <row r="200" ht="15.75" customHeight="1" s="121"/>
    <row r="201" ht="15.75" customHeight="1" s="121"/>
    <row r="202" ht="15.75" customHeight="1" s="121"/>
    <row r="203" ht="15.75" customHeight="1" s="121"/>
    <row r="204" ht="15.75" customHeight="1" s="121"/>
    <row r="205" ht="15.75" customHeight="1" s="121"/>
    <row r="206" ht="15.75" customHeight="1" s="121"/>
    <row r="207" ht="15.75" customHeight="1" s="121"/>
    <row r="208" ht="15.75" customHeight="1" s="121"/>
    <row r="209" ht="15.75" customHeight="1" s="121"/>
    <row r="210" ht="15.75" customHeight="1" s="121"/>
    <row r="211" ht="15.75" customHeight="1" s="121"/>
    <row r="212" ht="15.75" customHeight="1" s="121"/>
    <row r="213" ht="15.75" customHeight="1" s="121"/>
    <row r="214" ht="15.75" customHeight="1" s="121"/>
    <row r="215" ht="15.75" customHeight="1" s="121"/>
    <row r="216" ht="15.75" customHeight="1" s="121"/>
    <row r="217" ht="15.75" customHeight="1" s="121"/>
    <row r="218" ht="15.75" customHeight="1" s="121"/>
    <row r="219" ht="15.75" customHeight="1" s="121"/>
    <row r="220" ht="15.75" customHeight="1" s="121"/>
    <row r="221" ht="15.75" customHeight="1" s="121"/>
    <row r="222" ht="15.75" customHeight="1" s="121"/>
    <row r="223" ht="15.75" customHeight="1" s="121"/>
    <row r="224" ht="15.75" customHeight="1" s="121"/>
    <row r="225" ht="15.75" customHeight="1" s="121"/>
    <row r="226" ht="15.75" customHeight="1" s="121"/>
    <row r="227" ht="15.75" customHeight="1" s="121"/>
    <row r="228" ht="15.75" customHeight="1" s="121"/>
    <row r="229" ht="15.75" customHeight="1" s="121"/>
    <row r="230" ht="15.75" customHeight="1" s="121"/>
    <row r="231" ht="15.75" customHeight="1" s="121"/>
    <row r="232" ht="15.75" customHeight="1" s="121"/>
    <row r="233" ht="15.75" customHeight="1" s="121"/>
    <row r="234" ht="15.75" customHeight="1" s="121"/>
    <row r="235" ht="15.75" customHeight="1" s="121"/>
    <row r="236" ht="15.75" customHeight="1" s="121"/>
    <row r="237" ht="15.75" customHeight="1" s="121"/>
    <row r="238" ht="15.75" customHeight="1" s="121"/>
    <row r="239" ht="15.75" customHeight="1" s="121"/>
    <row r="240" ht="15.75" customHeight="1" s="121"/>
    <row r="241" ht="15.75" customHeight="1" s="121"/>
    <row r="242" ht="15.75" customHeight="1" s="121"/>
    <row r="243" ht="15.75" customHeight="1" s="121"/>
    <row r="244" ht="15.75" customHeight="1" s="121"/>
    <row r="245" ht="15.75" customHeight="1" s="121"/>
    <row r="246" ht="15.75" customHeight="1" s="121"/>
    <row r="247" ht="15.75" customHeight="1" s="121"/>
    <row r="248" ht="15.75" customHeight="1" s="121"/>
    <row r="249" ht="15.75" customHeight="1" s="121"/>
    <row r="250" ht="15.75" customHeight="1" s="121"/>
    <row r="251" ht="15.75" customHeight="1" s="121"/>
    <row r="252" ht="15.75" customHeight="1" s="121"/>
    <row r="253" ht="15.75" customHeight="1" s="121"/>
    <row r="254" ht="15.75" customHeight="1" s="121"/>
    <row r="255" ht="15.75" customHeight="1" s="121"/>
    <row r="256" ht="15.75" customHeight="1" s="121"/>
    <row r="257" ht="15.75" customHeight="1" s="121"/>
    <row r="258" ht="15.75" customHeight="1" s="121"/>
    <row r="259" ht="15.75" customHeight="1" s="121"/>
    <row r="260" ht="15.75" customHeight="1" s="121"/>
    <row r="261" ht="15.75" customHeight="1" s="121"/>
    <row r="262" ht="15.75" customHeight="1" s="121"/>
    <row r="263" ht="15.75" customHeight="1" s="121"/>
    <row r="264" ht="15.75" customHeight="1" s="121"/>
    <row r="265" ht="15.75" customHeight="1" s="121"/>
    <row r="266" ht="15.75" customHeight="1" s="121"/>
    <row r="267" ht="15.75" customHeight="1" s="121"/>
    <row r="268" ht="15.75" customHeight="1" s="121"/>
    <row r="269" ht="15.75" customHeight="1" s="121"/>
    <row r="270" ht="15.75" customHeight="1" s="121"/>
    <row r="271" ht="15.75" customHeight="1" s="121"/>
    <row r="272" ht="15.75" customHeight="1" s="121"/>
    <row r="273" ht="15.75" customHeight="1" s="121"/>
    <row r="274" ht="15.75" customHeight="1" s="121"/>
    <row r="275" ht="15.75" customHeight="1" s="121"/>
    <row r="276" ht="15.75" customHeight="1" s="121"/>
    <row r="277" ht="15.75" customHeight="1" s="121"/>
    <row r="278" ht="15.75" customHeight="1" s="121"/>
    <row r="279" ht="15.75" customHeight="1" s="121"/>
    <row r="280" ht="15.75" customHeight="1" s="121"/>
    <row r="281" ht="15.75" customHeight="1" s="121"/>
    <row r="282" ht="15.75" customHeight="1" s="121"/>
    <row r="283" ht="15.75" customHeight="1" s="121"/>
    <row r="284" ht="15.75" customHeight="1" s="121"/>
    <row r="285" ht="15.75" customHeight="1" s="121"/>
    <row r="286" ht="15.75" customHeight="1" s="121"/>
    <row r="287" ht="15.75" customHeight="1" s="121"/>
    <row r="288" ht="15.75" customHeight="1" s="121"/>
    <row r="289" ht="15.75" customHeight="1" s="121"/>
    <row r="290" ht="15.75" customHeight="1" s="121"/>
    <row r="291" ht="15.75" customHeight="1" s="121"/>
    <row r="292" ht="15.75" customHeight="1" s="121"/>
    <row r="293" ht="15.75" customHeight="1" s="121"/>
    <row r="294" ht="15.75" customHeight="1" s="121"/>
    <row r="295" ht="15.75" customHeight="1" s="121"/>
    <row r="296" ht="15.75" customHeight="1" s="121"/>
    <row r="297" ht="15.75" customHeight="1" s="121"/>
    <row r="298" ht="15.75" customHeight="1" s="121"/>
    <row r="299" ht="15.75" customHeight="1" s="121"/>
    <row r="300" ht="15.75" customHeight="1" s="121"/>
    <row r="301" ht="15.75" customHeight="1" s="121"/>
    <row r="302" ht="15.75" customHeight="1" s="121"/>
    <row r="303" ht="15.75" customHeight="1" s="121"/>
    <row r="304" ht="15.75" customHeight="1" s="121"/>
    <row r="305" ht="15.75" customHeight="1" s="121"/>
    <row r="306" ht="15.75" customHeight="1" s="121"/>
    <row r="307" ht="15.75" customHeight="1" s="121"/>
    <row r="308" ht="15.75" customHeight="1" s="121"/>
    <row r="309" ht="15.75" customHeight="1" s="121"/>
    <row r="310" ht="15.75" customHeight="1" s="121"/>
    <row r="311" ht="15.75" customHeight="1" s="121"/>
    <row r="312" ht="15.75" customHeight="1" s="121"/>
    <row r="313" ht="15.75" customHeight="1" s="121"/>
    <row r="314" ht="15.75" customHeight="1" s="121"/>
    <row r="315" ht="15.75" customHeight="1" s="121"/>
    <row r="316" ht="15.75" customHeight="1" s="121"/>
    <row r="317" ht="15.75" customHeight="1" s="121"/>
    <row r="318" ht="15.75" customHeight="1" s="121"/>
    <row r="319" ht="15.75" customHeight="1" s="121"/>
    <row r="320" ht="15.75" customHeight="1" s="121"/>
    <row r="321" ht="15.75" customHeight="1" s="121"/>
    <row r="322" ht="15.75" customHeight="1" s="121"/>
    <row r="323" ht="15.75" customHeight="1" s="121"/>
    <row r="324" ht="15.75" customHeight="1" s="121"/>
    <row r="325" ht="15.75" customHeight="1" s="121"/>
    <row r="326" ht="15.75" customHeight="1" s="121"/>
    <row r="327" ht="15.75" customHeight="1" s="121"/>
    <row r="328" ht="15.75" customHeight="1" s="121"/>
    <row r="329" ht="15.75" customHeight="1" s="121"/>
    <row r="330" ht="15.75" customHeight="1" s="121"/>
    <row r="331" ht="15.75" customHeight="1" s="121"/>
    <row r="332" ht="15.75" customHeight="1" s="121"/>
    <row r="333" ht="15.75" customHeight="1" s="121"/>
    <row r="334" ht="15.75" customHeight="1" s="121"/>
    <row r="335" ht="15.75" customHeight="1" s="121"/>
    <row r="336" ht="15.75" customHeight="1" s="121"/>
    <row r="337" ht="15.75" customHeight="1" s="121"/>
    <row r="338" ht="15.75" customHeight="1" s="121"/>
    <row r="339" ht="15.75" customHeight="1" s="121"/>
    <row r="340" ht="15.75" customHeight="1" s="121"/>
    <row r="341" ht="15.75" customHeight="1" s="121"/>
    <row r="342" ht="15.75" customHeight="1" s="121"/>
    <row r="343" ht="15.75" customHeight="1" s="121"/>
    <row r="344" ht="15.75" customHeight="1" s="121"/>
    <row r="345" ht="15.75" customHeight="1" s="121"/>
    <row r="346" ht="15.75" customHeight="1" s="121"/>
    <row r="347" ht="15.75" customHeight="1" s="121"/>
    <row r="348" ht="15.75" customHeight="1" s="121"/>
    <row r="349" ht="15.75" customHeight="1" s="121"/>
    <row r="350" ht="15.75" customHeight="1" s="121"/>
    <row r="351" ht="15.75" customHeight="1" s="121"/>
    <row r="352" ht="15.75" customHeight="1" s="121"/>
    <row r="353" ht="15.75" customHeight="1" s="121"/>
    <row r="354" ht="15.75" customHeight="1" s="121"/>
    <row r="355" ht="15.75" customHeight="1" s="121"/>
    <row r="356" ht="15.75" customHeight="1" s="121"/>
    <row r="357" ht="15.75" customHeight="1" s="121"/>
    <row r="358" ht="15.75" customHeight="1" s="121"/>
    <row r="359" ht="15.75" customHeight="1" s="121"/>
    <row r="360" ht="15.75" customHeight="1" s="121"/>
    <row r="361" ht="15.75" customHeight="1" s="121"/>
    <row r="362" ht="15.75" customHeight="1" s="121"/>
    <row r="363" ht="15.75" customHeight="1" s="121"/>
    <row r="364" ht="15.75" customHeight="1" s="121"/>
    <row r="365" ht="15.75" customHeight="1" s="121"/>
    <row r="366" ht="15.75" customHeight="1" s="121"/>
    <row r="367" ht="15.75" customHeight="1" s="121"/>
    <row r="368" ht="15.75" customHeight="1" s="121"/>
    <row r="369" ht="15.75" customHeight="1" s="121"/>
    <row r="370" ht="15.75" customHeight="1" s="121"/>
    <row r="371" ht="15.75" customHeight="1" s="121"/>
    <row r="372" ht="15.75" customHeight="1" s="121"/>
    <row r="373" ht="15.75" customHeight="1" s="121"/>
    <row r="374" ht="15.75" customHeight="1" s="121"/>
    <row r="375" ht="15.75" customHeight="1" s="121"/>
    <row r="376" ht="15.75" customHeight="1" s="121"/>
    <row r="377" ht="15.75" customHeight="1" s="121"/>
    <row r="378" ht="15.75" customHeight="1" s="121"/>
    <row r="379" ht="15.75" customHeight="1" s="121"/>
    <row r="380" ht="15.75" customHeight="1" s="121"/>
    <row r="381" ht="15.75" customHeight="1" s="121"/>
    <row r="382" ht="15.75" customHeight="1" s="121"/>
    <row r="383" ht="15.75" customHeight="1" s="121"/>
    <row r="384" ht="15.75" customHeight="1" s="121"/>
    <row r="385" ht="15.75" customHeight="1" s="121"/>
    <row r="386" ht="15.75" customHeight="1" s="121"/>
    <row r="387" ht="15.75" customHeight="1" s="121"/>
    <row r="388" ht="15.75" customHeight="1" s="121"/>
    <row r="389" ht="15.75" customHeight="1" s="121"/>
    <row r="390" ht="15.75" customHeight="1" s="121"/>
    <row r="391" ht="15.75" customHeight="1" s="121"/>
    <row r="392" ht="15.75" customHeight="1" s="121"/>
    <row r="393" ht="15.75" customHeight="1" s="121"/>
    <row r="394" ht="15.75" customHeight="1" s="121"/>
    <row r="395" ht="15.75" customHeight="1" s="121"/>
    <row r="396" ht="15.75" customHeight="1" s="121"/>
    <row r="397" ht="15.75" customHeight="1" s="121"/>
    <row r="398" ht="15.75" customHeight="1" s="121"/>
    <row r="399" ht="15.75" customHeight="1" s="121"/>
    <row r="400" ht="15.75" customHeight="1" s="121"/>
    <row r="401" ht="15.75" customHeight="1" s="121"/>
    <row r="402" ht="15.75" customHeight="1" s="121"/>
    <row r="403" ht="15.75" customHeight="1" s="121"/>
    <row r="404" ht="15.75" customHeight="1" s="121"/>
    <row r="405" ht="15.75" customHeight="1" s="121"/>
    <row r="406" ht="15.75" customHeight="1" s="121"/>
    <row r="407" ht="15.75" customHeight="1" s="121"/>
    <row r="408" ht="15.75" customHeight="1" s="121"/>
    <row r="409" ht="15.75" customHeight="1" s="121"/>
    <row r="410" ht="15.75" customHeight="1" s="121"/>
    <row r="411" ht="15.75" customHeight="1" s="121"/>
    <row r="412" ht="15.75" customHeight="1" s="121"/>
    <row r="413" ht="15.75" customHeight="1" s="121"/>
    <row r="414" ht="15.75" customHeight="1" s="121"/>
    <row r="415" ht="15.75" customHeight="1" s="121"/>
    <row r="416" ht="15.75" customHeight="1" s="121"/>
    <row r="417" ht="15.75" customHeight="1" s="121"/>
    <row r="418" ht="15.75" customHeight="1" s="121"/>
    <row r="419" ht="15.75" customHeight="1" s="121"/>
    <row r="420" ht="15.75" customHeight="1" s="121"/>
    <row r="421" ht="15.75" customHeight="1" s="121"/>
    <row r="422" ht="15.75" customHeight="1" s="121"/>
    <row r="423" ht="15.75" customHeight="1" s="121"/>
    <row r="424" ht="15.75" customHeight="1" s="121"/>
    <row r="425" ht="15.75" customHeight="1" s="121"/>
    <row r="426" ht="15.75" customHeight="1" s="121"/>
    <row r="427" ht="15.75" customHeight="1" s="121"/>
    <row r="428" ht="15.75" customHeight="1" s="121"/>
    <row r="429" ht="15.75" customHeight="1" s="121"/>
    <row r="430" ht="15.75" customHeight="1" s="121"/>
    <row r="431" ht="15.75" customHeight="1" s="121"/>
    <row r="432" ht="15.75" customHeight="1" s="121"/>
    <row r="433" ht="15.75" customHeight="1" s="121"/>
    <row r="434" ht="15.75" customHeight="1" s="121"/>
    <row r="435" ht="15.75" customHeight="1" s="121"/>
    <row r="436" ht="15.75" customHeight="1" s="121"/>
    <row r="437" ht="15.75" customHeight="1" s="121"/>
    <row r="438" ht="15.75" customHeight="1" s="121"/>
    <row r="439" ht="15.75" customHeight="1" s="121"/>
    <row r="440" ht="15.75" customHeight="1" s="121"/>
    <row r="441" ht="15.75" customHeight="1" s="121"/>
    <row r="442" ht="15.75" customHeight="1" s="121"/>
    <row r="443" ht="15.75" customHeight="1" s="121"/>
    <row r="444" ht="15.75" customHeight="1" s="121"/>
    <row r="445" ht="15.75" customHeight="1" s="121"/>
    <row r="446" ht="15.75" customHeight="1" s="121"/>
    <row r="447" ht="15.75" customHeight="1" s="121"/>
    <row r="448" ht="15.75" customHeight="1" s="121"/>
    <row r="449" ht="15.75" customHeight="1" s="121"/>
    <row r="450" ht="15.75" customHeight="1" s="121"/>
    <row r="451" ht="15.75" customHeight="1" s="121"/>
    <row r="452" ht="15.75" customHeight="1" s="121"/>
    <row r="453" ht="15.75" customHeight="1" s="121"/>
    <row r="454" ht="15.75" customHeight="1" s="121"/>
    <row r="455" ht="15.75" customHeight="1" s="121"/>
    <row r="456" ht="15.75" customHeight="1" s="121"/>
    <row r="457" ht="15.75" customHeight="1" s="121"/>
    <row r="458" ht="15.75" customHeight="1" s="121"/>
    <row r="459" ht="15.75" customHeight="1" s="121"/>
    <row r="460" ht="15.75" customHeight="1" s="121"/>
    <row r="461" ht="15.75" customHeight="1" s="121"/>
    <row r="462" ht="15.75" customHeight="1" s="121"/>
    <row r="463" ht="15.75" customHeight="1" s="121"/>
    <row r="464" ht="15.75" customHeight="1" s="121"/>
    <row r="465" ht="15.75" customHeight="1" s="121"/>
    <row r="466" ht="15.75" customHeight="1" s="121"/>
    <row r="467" ht="15.75" customHeight="1" s="121"/>
    <row r="468" ht="15.75" customHeight="1" s="121"/>
    <row r="469" ht="15.75" customHeight="1" s="121"/>
    <row r="470" ht="15.75" customHeight="1" s="121"/>
    <row r="471" ht="15.75" customHeight="1" s="121"/>
    <row r="472" ht="15.75" customHeight="1" s="121"/>
    <row r="473" ht="15.75" customHeight="1" s="121"/>
    <row r="474" ht="15.75" customHeight="1" s="121"/>
    <row r="475" ht="15.75" customHeight="1" s="121"/>
    <row r="476" ht="15.75" customHeight="1" s="121"/>
    <row r="477" ht="15.75" customHeight="1" s="121"/>
    <row r="478" ht="15.75" customHeight="1" s="121"/>
    <row r="479" ht="15.75" customHeight="1" s="121"/>
    <row r="480" ht="15.75" customHeight="1" s="121"/>
    <row r="481" ht="15.75" customHeight="1" s="121"/>
    <row r="482" ht="15.75" customHeight="1" s="121"/>
    <row r="483" ht="15.75" customHeight="1" s="121"/>
    <row r="484" ht="15.75" customHeight="1" s="121"/>
    <row r="485" ht="15.75" customHeight="1" s="121"/>
    <row r="486" ht="15.75" customHeight="1" s="121"/>
    <row r="487" ht="15.75" customHeight="1" s="121"/>
    <row r="488" ht="15.75" customHeight="1" s="121"/>
    <row r="489" ht="15.75" customHeight="1" s="121"/>
    <row r="490" ht="15.75" customHeight="1" s="121"/>
    <row r="491" ht="15.75" customHeight="1" s="121"/>
    <row r="492" ht="15.75" customHeight="1" s="121"/>
    <row r="493" ht="15.75" customHeight="1" s="121"/>
    <row r="494" ht="15.75" customHeight="1" s="121"/>
    <row r="495" ht="15.75" customHeight="1" s="121"/>
    <row r="496" ht="15.75" customHeight="1" s="121"/>
    <row r="497" ht="15.75" customHeight="1" s="121"/>
    <row r="498" ht="15.75" customHeight="1" s="121"/>
    <row r="499" ht="15.75" customHeight="1" s="121"/>
    <row r="500" ht="15.75" customHeight="1" s="121"/>
    <row r="501" ht="15.75" customHeight="1" s="121"/>
    <row r="502" ht="15.75" customHeight="1" s="121"/>
    <row r="503" ht="15.75" customHeight="1" s="121"/>
    <row r="504" ht="15.75" customHeight="1" s="121"/>
    <row r="505" ht="15.75" customHeight="1" s="121"/>
    <row r="506" ht="15.75" customHeight="1" s="121"/>
    <row r="507" ht="15.75" customHeight="1" s="121"/>
    <row r="508" ht="15.75" customHeight="1" s="121"/>
    <row r="509" ht="15.75" customHeight="1" s="121"/>
    <row r="510" ht="15.75" customHeight="1" s="121"/>
    <row r="511" ht="15.75" customHeight="1" s="121"/>
    <row r="512" ht="15.75" customHeight="1" s="121"/>
    <row r="513" ht="15.75" customHeight="1" s="121"/>
    <row r="514" ht="15.75" customHeight="1" s="121"/>
    <row r="515" ht="15.75" customHeight="1" s="121"/>
    <row r="516" ht="15.75" customHeight="1" s="121"/>
    <row r="517" ht="15.75" customHeight="1" s="121"/>
    <row r="518" ht="15.75" customHeight="1" s="121"/>
    <row r="519" ht="15.75" customHeight="1" s="121"/>
    <row r="520" ht="15.75" customHeight="1" s="121"/>
    <row r="521" ht="15.75" customHeight="1" s="121"/>
    <row r="522" ht="15.75" customHeight="1" s="121"/>
    <row r="523" ht="15.75" customHeight="1" s="121"/>
    <row r="524" ht="15.75" customHeight="1" s="121"/>
    <row r="525" ht="15.75" customHeight="1" s="121"/>
    <row r="526" ht="15.75" customHeight="1" s="121"/>
    <row r="527" ht="15.75" customHeight="1" s="121"/>
    <row r="528" ht="15.75" customHeight="1" s="121"/>
    <row r="529" ht="15.75" customHeight="1" s="121"/>
    <row r="530" ht="15.75" customHeight="1" s="121"/>
    <row r="531" ht="15.75" customHeight="1" s="121"/>
    <row r="532" ht="15.75" customHeight="1" s="121"/>
    <row r="533" ht="15.75" customHeight="1" s="121"/>
    <row r="534" ht="15.75" customHeight="1" s="121"/>
    <row r="535" ht="15.75" customHeight="1" s="121"/>
    <row r="536" ht="15.75" customHeight="1" s="121"/>
    <row r="537" ht="15.75" customHeight="1" s="121"/>
    <row r="538" ht="15.75" customHeight="1" s="121"/>
    <row r="539" ht="15.75" customHeight="1" s="121"/>
    <row r="540" ht="15.75" customHeight="1" s="121"/>
    <row r="541" ht="15.75" customHeight="1" s="121"/>
    <row r="542" ht="15.75" customHeight="1" s="121"/>
    <row r="543" ht="15.75" customHeight="1" s="121"/>
    <row r="544" ht="15.75" customHeight="1" s="121"/>
    <row r="545" ht="15.75" customHeight="1" s="121"/>
    <row r="546" ht="15.75" customHeight="1" s="121"/>
    <row r="547" ht="15.75" customHeight="1" s="121"/>
    <row r="548" ht="15.75" customHeight="1" s="121"/>
    <row r="549" ht="15.75" customHeight="1" s="121"/>
    <row r="550" ht="15.75" customHeight="1" s="121"/>
    <row r="551" ht="15.75" customHeight="1" s="121"/>
    <row r="552" ht="15.75" customHeight="1" s="121"/>
    <row r="553" ht="15.75" customHeight="1" s="121"/>
    <row r="554" ht="15.75" customHeight="1" s="121"/>
    <row r="555" ht="15.75" customHeight="1" s="121"/>
    <row r="556" ht="15.75" customHeight="1" s="121"/>
    <row r="557" ht="15.75" customHeight="1" s="121"/>
    <row r="558" ht="15.75" customHeight="1" s="121"/>
    <row r="559" ht="15.75" customHeight="1" s="121"/>
    <row r="560" ht="15.75" customHeight="1" s="121"/>
    <row r="561" ht="15.75" customHeight="1" s="121"/>
    <row r="562" ht="15.75" customHeight="1" s="121"/>
    <row r="563" ht="15.75" customHeight="1" s="121"/>
    <row r="564" ht="15.75" customHeight="1" s="121"/>
    <row r="565" ht="15.75" customHeight="1" s="121"/>
    <row r="566" ht="15.75" customHeight="1" s="121"/>
    <row r="567" ht="15.75" customHeight="1" s="121"/>
    <row r="568" ht="15.75" customHeight="1" s="121"/>
    <row r="569" ht="15.75" customHeight="1" s="121"/>
    <row r="570" ht="15.75" customHeight="1" s="121"/>
    <row r="571" ht="15.75" customHeight="1" s="121"/>
    <row r="572" ht="15.75" customHeight="1" s="121"/>
    <row r="573" ht="15.75" customHeight="1" s="121"/>
    <row r="574" ht="15.75" customHeight="1" s="121"/>
    <row r="575" ht="15.75" customHeight="1" s="121"/>
    <row r="576" ht="15.75" customHeight="1" s="121"/>
    <row r="577" ht="15.75" customHeight="1" s="121"/>
    <row r="578" ht="15.75" customHeight="1" s="121"/>
    <row r="579" ht="15.75" customHeight="1" s="121"/>
    <row r="580" ht="15.75" customHeight="1" s="121"/>
    <row r="581" ht="15.75" customHeight="1" s="121"/>
    <row r="582" ht="15.75" customHeight="1" s="121"/>
    <row r="583" ht="15.75" customHeight="1" s="121"/>
    <row r="584" ht="15.75" customHeight="1" s="121"/>
    <row r="585" ht="15.75" customHeight="1" s="121"/>
    <row r="586" ht="15.75" customHeight="1" s="121"/>
    <row r="587" ht="15.75" customHeight="1" s="121"/>
    <row r="588" ht="15.75" customHeight="1" s="121"/>
    <row r="589" ht="15.75" customHeight="1" s="121"/>
    <row r="590" ht="15.75" customHeight="1" s="121"/>
    <row r="591" ht="15.75" customHeight="1" s="121"/>
    <row r="592" ht="15.75" customHeight="1" s="121"/>
    <row r="593" ht="15.75" customHeight="1" s="121"/>
    <row r="594" ht="15.75" customHeight="1" s="121"/>
    <row r="595" ht="15.75" customHeight="1" s="121"/>
    <row r="596" ht="15.75" customHeight="1" s="121"/>
    <row r="597" ht="15.75" customHeight="1" s="121"/>
    <row r="598" ht="15.75" customHeight="1" s="121"/>
    <row r="599" ht="15.75" customHeight="1" s="121"/>
    <row r="600" ht="15.75" customHeight="1" s="121"/>
    <row r="601" ht="15.75" customHeight="1" s="121"/>
    <row r="602" ht="15.75" customHeight="1" s="121"/>
    <row r="603" ht="15.75" customHeight="1" s="121"/>
    <row r="604" ht="15.75" customHeight="1" s="121"/>
    <row r="605" ht="15.75" customHeight="1" s="121"/>
    <row r="606" ht="15.75" customHeight="1" s="121"/>
    <row r="607" ht="15.75" customHeight="1" s="121"/>
    <row r="608" ht="15.75" customHeight="1" s="121"/>
    <row r="609" ht="15.75" customHeight="1" s="121"/>
    <row r="610" ht="15.75" customHeight="1" s="121"/>
    <row r="611" ht="15.75" customHeight="1" s="121"/>
    <row r="612" ht="15.75" customHeight="1" s="121"/>
    <row r="613" ht="15.75" customHeight="1" s="121"/>
    <row r="614" ht="15.75" customHeight="1" s="121"/>
    <row r="615" ht="15.75" customHeight="1" s="121"/>
    <row r="616" ht="15.75" customHeight="1" s="121"/>
    <row r="617" ht="15.75" customHeight="1" s="121"/>
    <row r="618" ht="15.75" customHeight="1" s="121"/>
    <row r="619" ht="15.75" customHeight="1" s="121"/>
    <row r="620" ht="15.75" customHeight="1" s="121"/>
    <row r="621" ht="15.75" customHeight="1" s="121"/>
    <row r="622" ht="15.75" customHeight="1" s="121"/>
    <row r="623" ht="15.75" customHeight="1" s="121"/>
    <row r="624" ht="15.75" customHeight="1" s="121"/>
    <row r="625" ht="15.75" customHeight="1" s="121"/>
    <row r="626" ht="15.75" customHeight="1" s="121"/>
    <row r="627" ht="15.75" customHeight="1" s="121"/>
    <row r="628" ht="15.75" customHeight="1" s="121"/>
    <row r="629" ht="15.75" customHeight="1" s="121"/>
    <row r="630" ht="15.75" customHeight="1" s="121"/>
    <row r="631" ht="15.75" customHeight="1" s="121"/>
    <row r="632" ht="15.75" customHeight="1" s="121"/>
    <row r="633" ht="15.75" customHeight="1" s="121"/>
    <row r="634" ht="15.75" customHeight="1" s="121"/>
    <row r="635" ht="15.75" customHeight="1" s="121"/>
    <row r="636" ht="15.75" customHeight="1" s="121"/>
    <row r="637" ht="15.75" customHeight="1" s="121"/>
    <row r="638" ht="15.75" customHeight="1" s="121"/>
    <row r="639" ht="15.75" customHeight="1" s="121"/>
    <row r="640" ht="15.75" customHeight="1" s="121"/>
    <row r="641" ht="15.75" customHeight="1" s="121"/>
    <row r="642" ht="15.75" customHeight="1" s="121"/>
    <row r="643" ht="15.75" customHeight="1" s="121"/>
    <row r="644" ht="15.75" customHeight="1" s="121"/>
    <row r="645" ht="15.75" customHeight="1" s="121"/>
    <row r="646" ht="15.75" customHeight="1" s="121"/>
    <row r="647" ht="15.75" customHeight="1" s="121"/>
    <row r="648" ht="15.75" customHeight="1" s="121"/>
    <row r="649" ht="15.75" customHeight="1" s="121"/>
    <row r="650" ht="15.75" customHeight="1" s="121"/>
    <row r="651" ht="15.75" customHeight="1" s="121"/>
    <row r="652" ht="15.75" customHeight="1" s="121"/>
    <row r="653" ht="15.75" customHeight="1" s="121"/>
    <row r="654" ht="15.75" customHeight="1" s="121"/>
    <row r="655" ht="15.75" customHeight="1" s="121"/>
    <row r="656" ht="15.75" customHeight="1" s="121"/>
    <row r="657" ht="15.75" customHeight="1" s="121"/>
    <row r="658" ht="15.75" customHeight="1" s="121"/>
    <row r="659" ht="15.75" customHeight="1" s="121"/>
    <row r="660" ht="15.75" customHeight="1" s="121"/>
    <row r="661" ht="15.75" customHeight="1" s="121"/>
    <row r="662" ht="15.75" customHeight="1" s="121"/>
    <row r="663" ht="15.75" customHeight="1" s="121"/>
    <row r="664" ht="15.75" customHeight="1" s="121"/>
    <row r="665" ht="15.75" customHeight="1" s="121"/>
    <row r="666" ht="15.75" customHeight="1" s="121"/>
    <row r="667" ht="15.75" customHeight="1" s="121"/>
    <row r="668" ht="15.75" customHeight="1" s="121"/>
    <row r="669" ht="15.75" customHeight="1" s="121"/>
    <row r="670" ht="15.75" customHeight="1" s="121"/>
    <row r="671" ht="15.75" customHeight="1" s="121"/>
    <row r="672" ht="15.75" customHeight="1" s="121"/>
    <row r="673" ht="15.75" customHeight="1" s="121"/>
    <row r="674" ht="15.75" customHeight="1" s="121"/>
    <row r="675" ht="15.75" customHeight="1" s="121"/>
    <row r="676" ht="15.75" customHeight="1" s="121"/>
    <row r="677" ht="15.75" customHeight="1" s="121"/>
    <row r="678" ht="15.75" customHeight="1" s="121"/>
    <row r="679" ht="15.75" customHeight="1" s="121"/>
    <row r="680" ht="15.75" customHeight="1" s="121"/>
    <row r="681" ht="15.75" customHeight="1" s="121"/>
    <row r="682" ht="15.75" customHeight="1" s="121"/>
    <row r="683" ht="15.75" customHeight="1" s="121"/>
    <row r="684" ht="15.75" customHeight="1" s="121"/>
    <row r="685" ht="15.75" customHeight="1" s="121"/>
    <row r="686" ht="15.75" customHeight="1" s="121"/>
    <row r="687" ht="15.75" customHeight="1" s="121"/>
    <row r="688" ht="15.75" customHeight="1" s="121"/>
    <row r="689" ht="15.75" customHeight="1" s="121"/>
    <row r="690" ht="15.75" customHeight="1" s="121"/>
    <row r="691" ht="15.75" customHeight="1" s="121"/>
    <row r="692" ht="15.75" customHeight="1" s="121"/>
    <row r="693" ht="15.75" customHeight="1" s="121"/>
    <row r="694" ht="15.75" customHeight="1" s="121"/>
    <row r="695" ht="15.75" customHeight="1" s="121"/>
    <row r="696" ht="15.75" customHeight="1" s="121"/>
    <row r="697" ht="15.75" customHeight="1" s="121"/>
    <row r="698" ht="15.75" customHeight="1" s="121"/>
    <row r="699" ht="15.75" customHeight="1" s="121"/>
    <row r="700" ht="15.75" customHeight="1" s="121"/>
    <row r="701" ht="15.75" customHeight="1" s="121"/>
    <row r="702" ht="15.75" customHeight="1" s="121"/>
    <row r="703" ht="15.75" customHeight="1" s="121"/>
    <row r="704" ht="15.75" customHeight="1" s="121"/>
    <row r="705" ht="15.75" customHeight="1" s="121"/>
    <row r="706" ht="15.75" customHeight="1" s="121"/>
    <row r="707" ht="15.75" customHeight="1" s="121"/>
    <row r="708" ht="15.75" customHeight="1" s="121"/>
    <row r="709" ht="15.75" customHeight="1" s="121"/>
    <row r="710" ht="15.75" customHeight="1" s="121"/>
    <row r="711" ht="15.75" customHeight="1" s="121"/>
    <row r="712" ht="15.75" customHeight="1" s="121"/>
    <row r="713" ht="15.75" customHeight="1" s="121"/>
    <row r="714" ht="15.75" customHeight="1" s="121"/>
    <row r="715" ht="15.75" customHeight="1" s="121"/>
    <row r="716" ht="15.75" customHeight="1" s="121"/>
    <row r="717" ht="15.75" customHeight="1" s="121"/>
    <row r="718" ht="15.75" customHeight="1" s="121"/>
    <row r="719" ht="15.75" customHeight="1" s="121"/>
    <row r="720" ht="15.75" customHeight="1" s="121"/>
    <row r="721" ht="15.75" customHeight="1" s="121"/>
    <row r="722" ht="15.75" customHeight="1" s="121"/>
    <row r="723" ht="15.75" customHeight="1" s="121"/>
    <row r="724" ht="15.75" customHeight="1" s="121"/>
    <row r="725" ht="15.75" customHeight="1" s="121"/>
    <row r="726" ht="15.75" customHeight="1" s="121"/>
    <row r="727" ht="15.75" customHeight="1" s="121"/>
    <row r="728" ht="15.75" customHeight="1" s="121"/>
    <row r="729" ht="15.75" customHeight="1" s="121"/>
    <row r="730" ht="15.75" customHeight="1" s="121"/>
    <row r="731" ht="15.75" customHeight="1" s="121"/>
    <row r="732" ht="15.75" customHeight="1" s="121"/>
    <row r="733" ht="15.75" customHeight="1" s="121"/>
    <row r="734" ht="15.75" customHeight="1" s="121"/>
    <row r="735" ht="15.75" customHeight="1" s="121"/>
    <row r="736" ht="15.75" customHeight="1" s="121"/>
    <row r="737" ht="15.75" customHeight="1" s="121"/>
    <row r="738" ht="15.75" customHeight="1" s="121"/>
    <row r="739" ht="15.75" customHeight="1" s="121"/>
    <row r="740" ht="15.75" customHeight="1" s="121"/>
    <row r="741" ht="15.75" customHeight="1" s="121"/>
    <row r="742" ht="15.75" customHeight="1" s="121"/>
    <row r="743" ht="15.75" customHeight="1" s="121"/>
    <row r="744" ht="15.75" customHeight="1" s="121"/>
    <row r="745" ht="15.75" customHeight="1" s="121"/>
    <row r="746" ht="15.75" customHeight="1" s="121"/>
    <row r="747" ht="15.75" customHeight="1" s="121"/>
    <row r="748" ht="15.75" customHeight="1" s="121"/>
    <row r="749" ht="15.75" customHeight="1" s="121"/>
    <row r="750" ht="15.75" customHeight="1" s="121"/>
    <row r="751" ht="15.75" customHeight="1" s="121"/>
    <row r="752" ht="15.75" customHeight="1" s="121"/>
    <row r="753" ht="15.75" customHeight="1" s="121"/>
    <row r="754" ht="15.75" customHeight="1" s="121"/>
    <row r="755" ht="15.75" customHeight="1" s="121"/>
    <row r="756" ht="15.75" customHeight="1" s="121"/>
    <row r="757" ht="15.75" customHeight="1" s="121"/>
    <row r="758" ht="15.75" customHeight="1" s="121"/>
    <row r="759" ht="15.75" customHeight="1" s="121"/>
    <row r="760" ht="15.75" customHeight="1" s="121"/>
    <row r="761" ht="15.75" customHeight="1" s="121"/>
    <row r="762" ht="15.75" customHeight="1" s="121"/>
    <row r="763" ht="15.75" customHeight="1" s="121"/>
    <row r="764" ht="15.75" customHeight="1" s="121"/>
    <row r="765" ht="15.75" customHeight="1" s="121"/>
    <row r="766" ht="15.75" customHeight="1" s="121"/>
    <row r="767" ht="15.75" customHeight="1" s="121"/>
    <row r="768" ht="15.75" customHeight="1" s="121"/>
    <row r="769" ht="15.75" customHeight="1" s="121"/>
    <row r="770" ht="15.75" customHeight="1" s="121"/>
    <row r="771" ht="15.75" customHeight="1" s="121"/>
    <row r="772" ht="15.75" customHeight="1" s="121"/>
    <row r="773" ht="15.75" customHeight="1" s="121"/>
    <row r="774" ht="15.75" customHeight="1" s="121"/>
    <row r="775" ht="15.75" customHeight="1" s="121"/>
    <row r="776" ht="15.75" customHeight="1" s="121"/>
    <row r="777" ht="15.75" customHeight="1" s="121"/>
    <row r="778" ht="15.75" customHeight="1" s="121"/>
    <row r="779" ht="15.75" customHeight="1" s="121"/>
    <row r="780" ht="15.75" customHeight="1" s="121"/>
    <row r="781" ht="15.75" customHeight="1" s="121"/>
    <row r="782" ht="15.75" customHeight="1" s="121"/>
    <row r="783" ht="15.75" customHeight="1" s="121"/>
    <row r="784" ht="15.75" customHeight="1" s="121"/>
    <row r="785" ht="15.75" customHeight="1" s="121"/>
    <row r="786" ht="15.75" customHeight="1" s="121"/>
    <row r="787" ht="15.75" customHeight="1" s="121"/>
    <row r="788" ht="15.75" customHeight="1" s="121"/>
    <row r="789" ht="15.75" customHeight="1" s="121"/>
    <row r="790" ht="15.75" customHeight="1" s="121"/>
    <row r="791" ht="15.75" customHeight="1" s="121"/>
    <row r="792" ht="15.75" customHeight="1" s="121"/>
    <row r="793" ht="15.75" customHeight="1" s="121"/>
    <row r="794" ht="15.75" customHeight="1" s="121"/>
    <row r="795" ht="15.75" customHeight="1" s="121"/>
    <row r="796" ht="15.75" customHeight="1" s="121"/>
    <row r="797" ht="15.75" customHeight="1" s="121"/>
    <row r="798" ht="15.75" customHeight="1" s="121"/>
    <row r="799" ht="15.75" customHeight="1" s="121"/>
    <row r="800" ht="15.75" customHeight="1" s="121"/>
    <row r="801" ht="15.75" customHeight="1" s="121"/>
    <row r="802" ht="15.75" customHeight="1" s="121"/>
    <row r="803" ht="15.75" customHeight="1" s="121"/>
    <row r="804" ht="15.75" customHeight="1" s="121"/>
    <row r="805" ht="15.75" customHeight="1" s="121"/>
    <row r="806" ht="15.75" customHeight="1" s="121"/>
    <row r="807" ht="15.75" customHeight="1" s="121"/>
    <row r="808" ht="15.75" customHeight="1" s="121"/>
    <row r="809" ht="15.75" customHeight="1" s="121"/>
    <row r="810" ht="15.75" customHeight="1" s="121"/>
    <row r="811" ht="15.75" customHeight="1" s="121"/>
    <row r="812" ht="15.75" customHeight="1" s="121"/>
    <row r="813" ht="15.75" customHeight="1" s="121"/>
    <row r="814" ht="15.75" customHeight="1" s="121"/>
    <row r="815" ht="15.75" customHeight="1" s="121"/>
    <row r="816" ht="15.75" customHeight="1" s="121"/>
    <row r="817" ht="15.75" customHeight="1" s="121"/>
    <row r="818" ht="15.75" customHeight="1" s="121"/>
    <row r="819" ht="15.75" customHeight="1" s="121"/>
    <row r="820" ht="15.75" customHeight="1" s="121"/>
    <row r="821" ht="15.75" customHeight="1" s="121"/>
    <row r="822" ht="15.75" customHeight="1" s="121"/>
    <row r="823" ht="15.75" customHeight="1" s="121"/>
    <row r="824" ht="15.75" customHeight="1" s="121"/>
    <row r="825" ht="15.75" customHeight="1" s="121"/>
    <row r="826" ht="15.75" customHeight="1" s="121"/>
    <row r="827" ht="15.75" customHeight="1" s="121"/>
    <row r="828" ht="15.75" customHeight="1" s="121"/>
    <row r="829" ht="15.75" customHeight="1" s="121"/>
    <row r="830" ht="15.75" customHeight="1" s="121"/>
    <row r="831" ht="15.75" customHeight="1" s="121"/>
    <row r="832" ht="15.75" customHeight="1" s="121"/>
    <row r="833" ht="15.75" customHeight="1" s="121"/>
    <row r="834" ht="15.75" customHeight="1" s="121"/>
    <row r="835" ht="15.75" customHeight="1" s="121"/>
    <row r="836" ht="15.75" customHeight="1" s="121"/>
    <row r="837" ht="15.75" customHeight="1" s="121"/>
    <row r="838" ht="15.75" customHeight="1" s="121"/>
    <row r="839" ht="15.75" customHeight="1" s="121"/>
    <row r="840" ht="15.75" customHeight="1" s="121"/>
    <row r="841" ht="15.75" customHeight="1" s="121"/>
    <row r="842" ht="15.75" customHeight="1" s="121"/>
    <row r="843" ht="15.75" customHeight="1" s="121"/>
    <row r="844" ht="15.75" customHeight="1" s="121"/>
    <row r="845" ht="15.75" customHeight="1" s="121"/>
    <row r="846" ht="15.75" customHeight="1" s="121"/>
    <row r="847" ht="15.75" customHeight="1" s="121"/>
    <row r="848" ht="15.75" customHeight="1" s="121"/>
    <row r="849" ht="15.75" customHeight="1" s="121"/>
    <row r="850" ht="15.75" customHeight="1" s="121"/>
    <row r="851" ht="15.75" customHeight="1" s="121"/>
    <row r="852" ht="15.75" customHeight="1" s="121"/>
    <row r="853" ht="15.75" customHeight="1" s="121"/>
    <row r="854" ht="15.75" customHeight="1" s="121"/>
    <row r="855" ht="15.75" customHeight="1" s="121"/>
    <row r="856" ht="15.75" customHeight="1" s="121"/>
    <row r="857" ht="15.75" customHeight="1" s="121"/>
    <row r="858" ht="15.75" customHeight="1" s="121"/>
    <row r="859" ht="15.75" customHeight="1" s="121"/>
    <row r="860" ht="15.75" customHeight="1" s="121"/>
    <row r="861" ht="15.75" customHeight="1" s="121"/>
    <row r="862" ht="15.75" customHeight="1" s="121"/>
    <row r="863" ht="15.75" customHeight="1" s="121"/>
    <row r="864" ht="15.75" customHeight="1" s="121"/>
    <row r="865" ht="15.75" customHeight="1" s="121"/>
    <row r="866" ht="15.75" customHeight="1" s="121"/>
    <row r="867" ht="15.75" customHeight="1" s="121"/>
    <row r="868" ht="15.75" customHeight="1" s="121"/>
    <row r="869" ht="15.75" customHeight="1" s="121"/>
    <row r="870" ht="15.75" customHeight="1" s="121"/>
    <row r="871" ht="15.75" customHeight="1" s="121"/>
    <row r="872" ht="15.75" customHeight="1" s="121"/>
    <row r="873" ht="15.75" customHeight="1" s="121"/>
    <row r="874" ht="15.75" customHeight="1" s="121"/>
    <row r="875" ht="15.75" customHeight="1" s="121"/>
    <row r="876" ht="15.75" customHeight="1" s="121"/>
    <row r="877" ht="15.75" customHeight="1" s="121"/>
    <row r="878" ht="15.75" customHeight="1" s="121"/>
    <row r="879" ht="15.75" customHeight="1" s="121"/>
    <row r="880" ht="15.75" customHeight="1" s="121"/>
    <row r="881" ht="15.75" customHeight="1" s="121"/>
    <row r="882" ht="15.75" customHeight="1" s="121"/>
    <row r="883" ht="15.75" customHeight="1" s="121"/>
    <row r="884" ht="15.75" customHeight="1" s="121"/>
    <row r="885" ht="15.75" customHeight="1" s="121"/>
    <row r="886" ht="15.75" customHeight="1" s="121"/>
    <row r="887" ht="15.75" customHeight="1" s="121"/>
    <row r="888" ht="15.75" customHeight="1" s="121"/>
    <row r="889" ht="15.75" customHeight="1" s="121"/>
    <row r="890" ht="15.75" customHeight="1" s="121"/>
    <row r="891" ht="15.75" customHeight="1" s="121"/>
    <row r="892" ht="15.75" customHeight="1" s="121"/>
    <row r="893" ht="15.75" customHeight="1" s="121"/>
    <row r="894" ht="15.75" customHeight="1" s="121"/>
    <row r="895" ht="15.75" customHeight="1" s="121"/>
    <row r="896" ht="15.75" customHeight="1" s="121"/>
    <row r="897" ht="15.75" customHeight="1" s="121"/>
    <row r="898" ht="15.75" customHeight="1" s="121"/>
    <row r="899" ht="15.75" customHeight="1" s="121"/>
    <row r="900" ht="15.75" customHeight="1" s="121"/>
    <row r="901" ht="15.75" customHeight="1" s="121"/>
    <row r="902" ht="15.75" customHeight="1" s="121"/>
    <row r="903" ht="15.75" customHeight="1" s="121"/>
    <row r="904" ht="15.75" customHeight="1" s="121"/>
    <row r="905" ht="15.75" customHeight="1" s="121"/>
    <row r="906" ht="15.75" customHeight="1" s="121"/>
    <row r="907" ht="15.75" customHeight="1" s="121"/>
    <row r="908" ht="15.75" customHeight="1" s="121"/>
    <row r="909" ht="15.75" customHeight="1" s="121"/>
    <row r="910" ht="15.75" customHeight="1" s="121"/>
    <row r="911" ht="15.75" customHeight="1" s="121"/>
    <row r="912" ht="15.75" customHeight="1" s="121"/>
    <row r="913" ht="15.75" customHeight="1" s="121"/>
    <row r="914" ht="15.75" customHeight="1" s="121"/>
    <row r="915" ht="15.75" customHeight="1" s="121"/>
    <row r="916" ht="15.75" customHeight="1" s="121"/>
    <row r="917" ht="15.75" customHeight="1" s="121"/>
    <row r="918" ht="15.75" customHeight="1" s="121"/>
    <row r="919" ht="15.75" customHeight="1" s="121"/>
    <row r="920" ht="15.75" customHeight="1" s="121"/>
    <row r="921" ht="15.75" customHeight="1" s="121"/>
    <row r="922" ht="15.75" customHeight="1" s="121"/>
    <row r="923" ht="15.75" customHeight="1" s="121"/>
    <row r="924" ht="15.75" customHeight="1" s="121"/>
    <row r="925" ht="15.75" customHeight="1" s="121"/>
    <row r="926" ht="15.75" customHeight="1" s="121"/>
    <row r="927" ht="15.75" customHeight="1" s="121"/>
    <row r="928" ht="15.75" customHeight="1" s="121"/>
    <row r="929" ht="15.75" customHeight="1" s="121"/>
    <row r="930" ht="15.75" customHeight="1" s="121"/>
    <row r="931" ht="15.75" customHeight="1" s="121"/>
    <row r="932" ht="15.75" customHeight="1" s="121"/>
    <row r="933" ht="15.75" customHeight="1" s="121"/>
    <row r="934" ht="15.75" customHeight="1" s="121"/>
    <row r="935" ht="15.75" customHeight="1" s="121"/>
    <row r="936" ht="15.75" customHeight="1" s="121"/>
    <row r="937" ht="15.75" customHeight="1" s="121"/>
    <row r="938" ht="15.75" customHeight="1" s="121"/>
    <row r="939" ht="15.75" customHeight="1" s="121"/>
    <row r="940" ht="15.75" customHeight="1" s="121"/>
    <row r="941" ht="15.75" customHeight="1" s="121"/>
    <row r="942" ht="15.75" customHeight="1" s="121"/>
    <row r="943" ht="15.75" customHeight="1" s="121"/>
    <row r="944" ht="15.75" customHeight="1" s="121"/>
    <row r="945" ht="15.75" customHeight="1" s="121"/>
    <row r="946" ht="15.75" customHeight="1" s="121"/>
    <row r="947" ht="15.75" customHeight="1" s="121"/>
    <row r="948" ht="15.75" customHeight="1" s="121"/>
    <row r="949" ht="15.75" customHeight="1" s="121"/>
    <row r="950" ht="15.75" customHeight="1" s="121"/>
    <row r="951" ht="15.75" customHeight="1" s="121"/>
    <row r="952" ht="15.75" customHeight="1" s="121"/>
    <row r="953" ht="15.75" customHeight="1" s="121"/>
    <row r="954" ht="15.75" customHeight="1" s="121"/>
    <row r="955" ht="15.75" customHeight="1" s="121"/>
    <row r="956" ht="15.75" customHeight="1" s="121"/>
    <row r="957" ht="15.75" customHeight="1" s="121"/>
    <row r="958" ht="15.75" customHeight="1" s="121"/>
    <row r="959" ht="15.75" customHeight="1" s="121"/>
    <row r="960" ht="15.75" customHeight="1" s="121"/>
    <row r="961" ht="15.75" customHeight="1" s="121"/>
    <row r="962" ht="15.75" customHeight="1" s="121"/>
    <row r="963" ht="15.75" customHeight="1" s="121"/>
    <row r="964" ht="15.75" customHeight="1" s="121"/>
    <row r="965" ht="15.75" customHeight="1" s="121"/>
    <row r="966" ht="15.75" customHeight="1" s="121"/>
    <row r="967" ht="15.75" customHeight="1" s="121"/>
    <row r="968" ht="15.75" customHeight="1" s="121"/>
    <row r="969" ht="15.75" customHeight="1" s="121"/>
    <row r="970" ht="15.75" customHeight="1" s="121"/>
    <row r="971" ht="15.75" customHeight="1" s="121"/>
    <row r="972" ht="15.75" customHeight="1" s="121"/>
    <row r="973" ht="15.75" customHeight="1" s="121"/>
    <row r="974" ht="15.75" customHeight="1" s="121"/>
    <row r="975" ht="15.75" customHeight="1" s="121"/>
    <row r="976" ht="15.75" customHeight="1" s="121"/>
    <row r="977" ht="15.75" customHeight="1" s="121"/>
    <row r="978" ht="15.75" customHeight="1" s="121"/>
    <row r="979" ht="15.75" customHeight="1" s="121"/>
    <row r="980" ht="15.75" customHeight="1" s="121"/>
    <row r="981" ht="15.75" customHeight="1" s="121"/>
    <row r="982" ht="15.75" customHeight="1" s="121"/>
    <row r="983" ht="15.75" customHeight="1" s="121"/>
    <row r="984" ht="15.75" customHeight="1" s="121"/>
    <row r="985" ht="15.75" customHeight="1" s="121"/>
    <row r="986" ht="15.75" customHeight="1" s="121"/>
    <row r="987" ht="15.75" customHeight="1" s="121"/>
    <row r="988" ht="15.75" customHeight="1" s="121"/>
    <row r="989" ht="15.75" customHeight="1" s="121"/>
    <row r="990" ht="15.75" customHeight="1" s="121"/>
    <row r="991" ht="15.75" customHeight="1" s="121"/>
    <row r="992" ht="15.75" customHeight="1" s="121"/>
    <row r="993" ht="15.75" customHeight="1" s="121"/>
    <row r="994" ht="15.75" customHeight="1" s="121"/>
    <row r="995" ht="15.75" customHeight="1" s="121"/>
    <row r="996" ht="15.75" customHeight="1" s="121"/>
    <row r="997" ht="15.75" customHeight="1" s="121"/>
    <row r="998" ht="15.75" customHeight="1" s="121"/>
    <row r="999" ht="15.75" customHeight="1" s="121"/>
    <row r="1000" ht="15.75" customHeight="1" s="121"/>
  </sheetData>
  <mergeCells count="2">
    <mergeCell ref="B2:F2"/>
    <mergeCell ref="B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2026-05-19T02:58:02Z</dcterms:created>
  <dcterms:modified xmlns:dcterms="http://purl.org/dc/terms/" xmlns:xsi="http://www.w3.org/2001/XMLSchema-instance" xsi:type="dcterms:W3CDTF">2026-05-19T02:58:03Z</dcterms:modified>
</cp:coreProperties>
</file>